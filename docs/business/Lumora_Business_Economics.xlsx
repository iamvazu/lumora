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Team" sheetId="4" state="visible" r:id="rId6"/>
    <sheet name="Fixed Costs" sheetId="5" state="visible" r:id="rId7"/>
    <sheet name="Setup Costs" sheetId="6" state="visible" r:id="rId8"/>
    <sheet name="Projection" sheetId="7" state="visible" r:id="rId9"/>
    <sheet name="Unit Economic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<sst xmlns="http://schemas.openxmlformats.org/spreadsheetml/2006/main" count="477" uniqueCount="405">
  <si>
    <t xml:space="preserve">Lumora: business economics model</t>
  </si>
  <si>
    <t xml:space="preserve">Illustrative 36-month model for an 18+ creator-subscription platform. All figures are USD and are planning estimates, not quotes. Replace them with real vendor quotes as you get them.</t>
  </si>
  <si>
    <t xml:space="preserve">Not financial, legal or tax advice. Have an accountant and adult-industry counsel review before you raise money or launch.</t>
  </si>
  <si>
    <t xml:space="preserve">How to use</t>
  </si>
  <si>
    <t xml:space="preserve">1. Yellow cells with blue text are inputs. Change them; every other number is a formula.</t>
  </si>
  <si>
    <t xml:space="preserve">2. Pick a scenario on Assumptions (1 = Conservative, 2 = Base, 3 = Aggressive).</t>
  </si>
  <si>
    <t xml:space="preserve">3. Edit headcount and salaries on Team, recurring costs on Fixed Costs, launch costs on Setup Costs.</t>
  </si>
  <si>
    <t xml:space="preserve">4. Read results on Summary (yearly P&amp;L, break-even, funding need, charts) and Unit Economics (where each $100 of fan spend goes).</t>
  </si>
  <si>
    <t xml:space="preserve">Tabs</t>
  </si>
  <si>
    <t xml:space="preserve">Summary: yearly P&amp;L, key metrics and charts.</t>
  </si>
  <si>
    <t xml:space="preserve">Assumptions: scenario drivers, fees, other income, variable costs, tax, funding.</t>
  </si>
  <si>
    <t xml:space="preserve">Unit Economics: $100 of fan spend under 3 fee models, plus creator LTV / CAC.</t>
  </si>
  <si>
    <t xml:space="preserve">Projection: 36 monthly columns (creators, fans, GMV, revenue, costs, EBITDA, cash).</t>
  </si>
  <si>
    <t xml:space="preserve">Team: roles, headcount, monthly cost, start month.</t>
  </si>
  <si>
    <t xml:space="preserve">Fixed Costs: every monthly recurring cost outside payroll.</t>
  </si>
  <si>
    <t xml:space="preserve">Setup Costs: one-time costs before and at launch.</t>
  </si>
  <si>
    <t xml:space="preserve">Income streams</t>
  </si>
  <si>
    <t xml:space="preserve">Core: platform commission (default 20%) on every fan payment: subscriptions, pay-per-view posts and messages, tips, bundles, live tickets and gifts.</t>
  </si>
  <si>
    <t xml:space="preserve">Optional fan service fee: a small % added on top of the fan price to cover card processing (Model B on Unit Economics). Biggest single lever on margin.</t>
  </si>
  <si>
    <t xml:space="preserve">Creator Pro tools: monthly subscription for advanced analytics, scheduling, mass-message automation and extra storage.</t>
  </si>
  <si>
    <t xml:space="preserve">Instant payout fee: % charged when a creator chooses same-day withdrawal instead of the free weekly payout.</t>
  </si>
  <si>
    <t xml:space="preserve">Agency / chatter seats: monthly fee per staff seat on agency accounts.</t>
  </si>
  <si>
    <t xml:space="preserve">Featured placements: creators pay to be promoted in Explore (SFW areas only, clearly labelled "Promoted").</t>
  </si>
  <si>
    <t xml:space="preserve">Do NOT plan revenue from: interest on creator balances (that money belongs to creators and needs separate safeguarding), selling user data, or third-party ads on adult pages.</t>
  </si>
  <si>
    <t xml:space="preserve">How to structure the economics (recommendations)</t>
  </si>
  <si>
    <t xml:space="preserve">1. Decide who pays card processing. Adult processors take about 10 to 15% of each payment. At a 20% fee you keep about 7%. Options: add a fan service fee (Model B) or pay creators 80% of net (Model C, less competitive). Settle this before launch; changing later upsets creators.</t>
  </si>
  <si>
    <t xml:space="preserve">2. Keep three bank accounts: Operating (your money), Creator Funds (creator balances, never spent on operations), Tax (VAT/GST and corporate tax set aside monthly).</t>
  </si>
  <si>
    <t xml:space="preserve">3. Charge VAT/GST on top of fan prices where required and remit it. It is not revenue. GMV in this model excludes VAT.</t>
  </si>
  <si>
    <t xml:space="preserve">4. Plan cash for the processor rolling reserve (default 10% held 6 months). It is your money, but you cannot spend it for months.</t>
  </si>
  <si>
    <t xml:space="preserve">5. Hold creator earnings for a short period (default 7 days) to absorb refunds and chargebacks before payout.</t>
  </si>
  <si>
    <t xml:space="preserve">6. Track net take rate (platform money after processing, as % of GMV), not the headline 20%.</t>
  </si>
  <si>
    <t xml:space="preserve">7. Keep at least 6 months of fixed costs in the bank at all times. Processors can pause settlements with little notice.</t>
  </si>
  <si>
    <t xml:space="preserve">8. Run on two processors from day one so one account freeze does not stop revenue.</t>
  </si>
  <si>
    <t xml:space="preserve">Things you should also plan for</t>
  </si>
  <si>
    <t xml:space="preserve">Entity and banking: operate from a jurisdiction where adult content and high-risk payments are workable (commonly UK, EU or US). Many banks refuse adult merchants; line up a high-risk-friendly bank early.</t>
  </si>
  <si>
    <t xml:space="preserve">Funding: most VCs and many angels exclude adult businesses. Expect to self-fund or raise from specialist investors. This model shows how much cash you need.</t>
  </si>
  <si>
    <t xml:space="preserve">Taxes: corporate tax; VAT/GST as a marketplace that sells digital services to consumers; creator tax reporting (US 1099 forms, EU DAC7); possible withholding on non-resident creators.</t>
  </si>
  <si>
    <t xml:space="preserve">Chargebacks: card networks put merchants into monitoring programs if disputes run high (roughly 0.9 to 1% of transactions). Fines and termination follow. Keep it well below.</t>
  </si>
  <si>
    <t xml:space="preserve">Deplatforming risk: processors, banks, CDNs, app stores and email providers can drop adult businesses. Get written confirmation of acceptance and keep backups for each vendor.</t>
  </si>
  <si>
    <t xml:space="preserve">Content liability: moderation staffing scales with uploads. A single CSAM or non-consent incident can end the business. Never cut Trust &amp; Safety to hit numbers.</t>
  </si>
  <si>
    <t xml:space="preserve">Piracy: leaked content drives creator churn. Budget for a takedown service.</t>
  </si>
  <si>
    <t xml:space="preserve">Creator concentration: on most platforms a small share of creators earns most of the revenue. Losing a few top creators can move GMV sharply. Track it monthly.</t>
  </si>
  <si>
    <t xml:space="preserve">Key metrics to report monthly: GMV, net take rate, active and earning creators, paying fans, ARPPU, creator churn, chargeback ratio, refund rate, contribution margin, cash runway.</t>
  </si>
  <si>
    <t xml:space="preserve">Sources for fee assumptions</t>
  </si>
  <si>
    <t xml:space="preserve">Adult processor fees of about 10 to 15%: https://www.adults.dev/Article/adult-payment-processing-ccbill-vs-verotel-vs-epoch-vs-stripe-full-comparison and https://fanso.io/blog/best-payment-gateways-for-creator-platforms/</t>
  </si>
  <si>
    <t xml:space="preserve">Mainstream processors prohibit adult content: https://stripe.com/legal/restricted-businesses</t>
  </si>
  <si>
    <t xml:space="preserve">All other costs are planning estimates (India-based core team, offshore entity). Replace with real quotes.</t>
  </si>
  <si>
    <t xml:space="preserve">Lumora: business economics summary</t>
  </si>
  <si>
    <t xml:space="preserve">Yearly P&amp;L</t>
  </si>
  <si>
    <t xml:space="preserve">Year 1</t>
  </si>
  <si>
    <t xml:space="preserve">Year 2</t>
  </si>
  <si>
    <t xml:space="preserve">Year 3</t>
  </si>
  <si>
    <t xml:space="preserve">Key metrics</t>
  </si>
  <si>
    <t xml:space="preserve">Value</t>
  </si>
  <si>
    <t xml:space="preserve">Active creators (end of year)</t>
  </si>
  <si>
    <t xml:space="preserve">Break-even month (first month EBITDA &gt; 0)</t>
  </si>
  <si>
    <t xml:space="preserve">Paying fans (end of year)</t>
  </si>
  <si>
    <t xml:space="preserve">Lowest cash balance over 36 months</t>
  </si>
  <si>
    <t xml:space="preserve">Fan spend / GMV</t>
  </si>
  <si>
    <t xml:space="preserve">Extra funding needed beyond starting capital</t>
  </si>
  <si>
    <t xml:space="preserve">Net revenue</t>
  </si>
  <si>
    <t xml:space="preserve">Total capital needed (setup + peak burn)</t>
  </si>
  <si>
    <t xml:space="preserve">Variable costs</t>
  </si>
  <si>
    <t xml:space="preserve">Monthly burn before revenue (month 1 fixed costs)</t>
  </si>
  <si>
    <t xml:space="preserve">Contribution</t>
  </si>
  <si>
    <t xml:space="preserve">One-time setup costs</t>
  </si>
  <si>
    <t xml:space="preserve">Fixed costs</t>
  </si>
  <si>
    <t xml:space="preserve">Month 36 GMV run-rate (annualized)</t>
  </si>
  <si>
    <t xml:space="preserve">EBITDA</t>
  </si>
  <si>
    <t xml:space="preserve">Month 36 net take rate (% of GMV)</t>
  </si>
  <si>
    <t xml:space="preserve">Net income</t>
  </si>
  <si>
    <t xml:space="preserve">Month 36 EBITDA margin</t>
  </si>
  <si>
    <t xml:space="preserve">Net cash flow</t>
  </si>
  <si>
    <t xml:space="preserve">Creator LTV / CAC</t>
  </si>
  <si>
    <t xml:space="preserve">Cash in bank (end of year)</t>
  </si>
  <si>
    <t xml:space="preserve">Platform keeps per $100 fan spend (Model A)</t>
  </si>
  <si>
    <t xml:space="preserve">Platform keeps per $100 fan spend (Model B)</t>
  </si>
  <si>
    <t xml:space="preserve">Read Unit Economics before setting prices: processing fees decide most of your margin.</t>
  </si>
  <si>
    <t xml:space="preserve">Assumptions (edit yellow cells)</t>
  </si>
  <si>
    <t xml:space="preserve">Legend: yellow fill + blue text = input. Black = formula. Example: change B5 to 1 to see the conservative case.</t>
  </si>
  <si>
    <t xml:space="preserve">Scenario selected (1 = Conservative, 2 = Base, 3 = Aggressive)</t>
  </si>
  <si>
    <t xml:space="preserve">Scenario driver</t>
  </si>
  <si>
    <t xml:space="preserve">Live value</t>
  </si>
  <si>
    <t xml:space="preserve">Conservative</t>
  </si>
  <si>
    <t xml:space="preserve">Base</t>
  </si>
  <si>
    <t xml:space="preserve">Aggressive</t>
  </si>
  <si>
    <t xml:space="preserve">Unit / note</t>
  </si>
  <si>
    <t xml:space="preserve">New verified creators in month 1</t>
  </si>
  <si>
    <t xml:space="preserve">creators</t>
  </si>
  <si>
    <t xml:space="preserve">Growth in new creator sign-ups, months 1-12</t>
  </si>
  <si>
    <t xml:space="preserve">per month</t>
  </si>
  <si>
    <t xml:space="preserve">Growth in new creator sign-ups, months 13-36</t>
  </si>
  <si>
    <t xml:space="preserve">Active creator churn</t>
  </si>
  <si>
    <t xml:space="preserve">Paying fans per active creator, month 1</t>
  </si>
  <si>
    <t xml:space="preserve">average incl. creators with no fans</t>
  </si>
  <si>
    <t xml:space="preserve">Paying fans per active creator, month 24 onward</t>
  </si>
  <si>
    <t xml:space="preserve">ramps linearly from month 1</t>
  </si>
  <si>
    <t xml:space="preserve">Spend per paying fan per month (ARPPU)</t>
  </si>
  <si>
    <t xml:space="preserve">USD, excl. VAT; all streams combined</t>
  </si>
  <si>
    <t xml:space="preserve">Cost to acquire one verified creator (CAC)</t>
  </si>
  <si>
    <t xml:space="preserve">USD; ads, affiliates, onboarding incentives</t>
  </si>
  <si>
    <t xml:space="preserve">Pricing and fees</t>
  </si>
  <si>
    <t xml:space="preserve">Unit</t>
  </si>
  <si>
    <t xml:space="preserve">Note / source</t>
  </si>
  <si>
    <t xml:space="preserve">Platform commission on fan spend</t>
  </si>
  <si>
    <t xml:space="preserve">% of GMV</t>
  </si>
  <si>
    <t xml:space="preserve">Creators keep the rest. Industry standard is 20%.</t>
  </si>
  <si>
    <t xml:space="preserve">Fan service fee added on top of price</t>
  </si>
  <si>
    <t xml:space="preserve">Optional. Set e.g. 8% to cover processing (see Unit Economics, Model B).</t>
  </si>
  <si>
    <t xml:space="preserve">Card processing rate</t>
  </si>
  <si>
    <t xml:space="preserve">% of fan payment</t>
  </si>
  <si>
    <t xml:space="preserve">Adult processors ~10-15% (adults.dev, fanso.io). Use your contract rate.</t>
  </si>
  <si>
    <t xml:space="preserve">Card processing fixed fee per transaction</t>
  </si>
  <si>
    <t xml:space="preserve">USD</t>
  </si>
  <si>
    <t xml:space="preserve">Set if your contract has a per-transaction fee.</t>
  </si>
  <si>
    <t xml:space="preserve">Average transaction size</t>
  </si>
  <si>
    <t xml:space="preserve">Mix of subs, tips, unlocks.</t>
  </si>
  <si>
    <t xml:space="preserve">Chargeback rate</t>
  </si>
  <si>
    <t xml:space="preserve">% of transactions</t>
  </si>
  <si>
    <t xml:space="preserve">Keep well under ~0.9-1% network monitoring thresholds.</t>
  </si>
  <si>
    <t xml:space="preserve">Fee per chargeback</t>
  </si>
  <si>
    <t xml:space="preserve">Typical processor dispute fee; confirm in contract.</t>
  </si>
  <si>
    <t xml:space="preserve">Refunds</t>
  </si>
  <si>
    <t xml:space="preserve">Most refunds are reversed from creator balance.</t>
  </si>
  <si>
    <t xml:space="preserve">Share of refunds borne by platform</t>
  </si>
  <si>
    <t xml:space="preserve">% of refunds</t>
  </si>
  <si>
    <t xml:space="preserve">Goodwill refunds, creator balance shortfalls.</t>
  </si>
  <si>
    <t xml:space="preserve">Referral share paid to referring creator</t>
  </si>
  <si>
    <t xml:space="preserve">% of platform fee</t>
  </si>
  <si>
    <t xml:space="preserve">12 months per referred creator.</t>
  </si>
  <si>
    <t xml:space="preserve">Share of GMV from referred creators</t>
  </si>
  <si>
    <t xml:space="preserve">Processor rolling reserve</t>
  </si>
  <si>
    <t xml:space="preserve">% of fan payments</t>
  </si>
  <si>
    <t xml:space="preserve">Common for high-risk merchants; confirm in contract.</t>
  </si>
  <si>
    <t xml:space="preserve">Reserve holding period</t>
  </si>
  <si>
    <t xml:space="preserve">months</t>
  </si>
  <si>
    <t xml:space="preserve">Released after this many months.</t>
  </si>
  <si>
    <t xml:space="preserve">Creator earnings hold before payout</t>
  </si>
  <si>
    <t xml:space="preserve">days</t>
  </si>
  <si>
    <t xml:space="preserve">Absorbs refunds/chargebacks. Creator money, not yours.</t>
  </si>
  <si>
    <t xml:space="preserve">Other income streams</t>
  </si>
  <si>
    <t xml:space="preserve">Instant payout fee</t>
  </si>
  <si>
    <t xml:space="preserve">% of amount</t>
  </si>
  <si>
    <t xml:space="preserve">Free weekly payout stays free.</t>
  </si>
  <si>
    <t xml:space="preserve">Share of creator payouts taken instantly</t>
  </si>
  <si>
    <t xml:space="preserve">%</t>
  </si>
  <si>
    <t xml:space="preserve">Creator Pro tools price</t>
  </si>
  <si>
    <t xml:space="preserve">USD / month</t>
  </si>
  <si>
    <t xml:space="preserve">Analytics, automation, extra storage.</t>
  </si>
  <si>
    <t xml:space="preserve">Creator Pro adoption</t>
  </si>
  <si>
    <t xml:space="preserve">% of active creators</t>
  </si>
  <si>
    <t xml:space="preserve">Agency / chatter seat price</t>
  </si>
  <si>
    <t xml:space="preserve">USD / seat / month</t>
  </si>
  <si>
    <t xml:space="preserve">Agency seats per 100 active creators</t>
  </si>
  <si>
    <t xml:space="preserve">seats</t>
  </si>
  <si>
    <t xml:space="preserve">Featured placement revenue per 100 active creators</t>
  </si>
  <si>
    <t xml:space="preserve">SFW Explore placements, labelled Promoted.</t>
  </si>
  <si>
    <t xml:space="preserve">Bandwidth / video delivery per paying fan</t>
  </si>
  <si>
    <t xml:space="preserve">CDN + HLS delivery; estimate.</t>
  </si>
  <si>
    <t xml:space="preserve">Storage + transcoding per active creator</t>
  </si>
  <si>
    <t xml:space="preserve">Estimate.</t>
  </si>
  <si>
    <t xml:space="preserve">Automated moderation (classifiers, hash checks) per active creator</t>
  </si>
  <si>
    <t xml:space="preserve">Estimate; depends on upload volume.</t>
  </si>
  <si>
    <t xml:space="preserve">Identity verification per new creator</t>
  </si>
  <si>
    <t xml:space="preserve">ID + liveness incl. retries; get vendor quote.</t>
  </si>
  <si>
    <t xml:space="preserve">Fan age verification, amortized per paying fan</t>
  </si>
  <si>
    <t xml:space="preserve">Required in some regions.</t>
  </si>
  <si>
    <t xml:space="preserve">Cost per creator payout</t>
  </si>
  <si>
    <t xml:space="preserve">Bank wire / Paxum costs borne by platform.</t>
  </si>
  <si>
    <t xml:space="preserve">Payouts per active creator per month</t>
  </si>
  <si>
    <t xml:space="preserve">count</t>
  </si>
  <si>
    <t xml:space="preserve">Email / push per paying fan</t>
  </si>
  <si>
    <t xml:space="preserve">Overheads, tax and funding</t>
  </si>
  <si>
    <t xml:space="preserve">Payroll overhead (benefits, EOR, equipment)</t>
  </si>
  <si>
    <t xml:space="preserve">% of salaries</t>
  </si>
  <si>
    <t xml:space="preserve">Contingency on team + fixed costs</t>
  </si>
  <si>
    <t xml:space="preserve">For costs you have not thought of yet.</t>
  </si>
  <si>
    <t xml:space="preserve">Corporate tax rate (simplified)</t>
  </si>
  <si>
    <t xml:space="preserve">% of positive EBITDA</t>
  </si>
  <si>
    <t xml:space="preserve">Simplified: no loss carry-forward, depreciation or interest.</t>
  </si>
  <si>
    <t xml:space="preserve">Starting capital (cash in bank at launch)</t>
  </si>
  <si>
    <t xml:space="preserve">Your founder money + any raise.</t>
  </si>
  <si>
    <t xml:space="preserve">Team plan (monthly cost per person, USD)</t>
  </si>
  <si>
    <t xml:space="preserve">Inputs in yellow. Costs assume an India-based team on contract; adjust for your hiring location.</t>
  </si>
  <si>
    <t xml:space="preserve">Role</t>
  </si>
  <si>
    <t xml:space="preserve">Headcount</t>
  </si>
  <si>
    <t xml:space="preserve">Monthly cost each</t>
  </si>
  <si>
    <t xml:space="preserve">Start month</t>
  </si>
  <si>
    <t xml:space="preserve">Monthly cost (full)</t>
  </si>
  <si>
    <t xml:space="preserve">Note</t>
  </si>
  <si>
    <t xml:space="preserve">Founder / CEO</t>
  </si>
  <si>
    <t xml:space="preserve">Pay yourself something; it keeps the model honest.</t>
  </si>
  <si>
    <t xml:space="preserve">Full-stack engineers</t>
  </si>
  <si>
    <t xml:space="preserve">Maintain platform, vendor integrations</t>
  </si>
  <si>
    <t xml:space="preserve">DevOps / SRE</t>
  </si>
  <si>
    <t xml:space="preserve">Uptime, security, deploys</t>
  </si>
  <si>
    <t xml:space="preserve">Product designer</t>
  </si>
  <si>
    <t xml:space="preserve">QA engineer</t>
  </si>
  <si>
    <t xml:space="preserve">Trust &amp; Safety lead</t>
  </si>
  <si>
    <t xml:space="preserve">Owns moderation, legal reports</t>
  </si>
  <si>
    <t xml:space="preserve">Content moderators (24/7 rota)</t>
  </si>
  <si>
    <t xml:space="preserve">Minimum for round-the-clock P0 coverage</t>
  </si>
  <si>
    <t xml:space="preserve">Compliance &amp; payments ops</t>
  </si>
  <si>
    <t xml:space="preserve">KYC queue, processors, chargebacks</t>
  </si>
  <si>
    <t xml:space="preserve">Customer support agents</t>
  </si>
  <si>
    <t xml:space="preserve">Creator partnerships &amp; marketing</t>
  </si>
  <si>
    <t xml:space="preserve">Recruits creators and agencies</t>
  </si>
  <si>
    <t xml:space="preserve">Engineers (second wave)</t>
  </si>
  <si>
    <t xml:space="preserve">Content moderators (second wave)</t>
  </si>
  <si>
    <t xml:space="preserve">Scale with uploads</t>
  </si>
  <si>
    <t xml:space="preserve">Support agents (second wave)</t>
  </si>
  <si>
    <t xml:space="preserve">Finance manager</t>
  </si>
  <si>
    <t xml:space="preserve">Reconciliations, tax filings</t>
  </si>
  <si>
    <t xml:space="preserve">Total at full build-out (before overhead)</t>
  </si>
  <si>
    <t xml:space="preserve">Monthly recurring costs excluding payroll (USD)</t>
  </si>
  <si>
    <t xml:space="preserve">Annual costs are divided by 12. All are estimates; replace with quotes.</t>
  </si>
  <si>
    <t xml:space="preserve">Category</t>
  </si>
  <si>
    <t xml:space="preserve">Item</t>
  </si>
  <si>
    <t xml:space="preserve">Monthly cost</t>
  </si>
  <si>
    <t xml:space="preserve">Infrastructure</t>
  </si>
  <si>
    <t xml:space="preserve">Cloud servers (API, web, workers)</t>
  </si>
  <si>
    <t xml:space="preserve">Base load; variable delivery costs are on Assumptions</t>
  </si>
  <si>
    <t xml:space="preserve">Managed PostgreSQL + backups</t>
  </si>
  <si>
    <t xml:space="preserve">Redis / queues</t>
  </si>
  <si>
    <t xml:space="preserve">Object storage + CDN minimum commitment</t>
  </si>
  <si>
    <t xml:space="preserve">Use an adult-friendly CDN</t>
  </si>
  <si>
    <t xml:space="preserve">Live streaming servers (base)</t>
  </si>
  <si>
    <t xml:space="preserve">LiveKit self-hosted</t>
  </si>
  <si>
    <t xml:space="preserve">Monitoring, logging, error tracking</t>
  </si>
  <si>
    <t xml:space="preserve">Software</t>
  </si>
  <si>
    <t xml:space="preserve">Google Workspace (~15 seats)</t>
  </si>
  <si>
    <t xml:space="preserve">GitHub Team</t>
  </si>
  <si>
    <t xml:space="preserve">Help desk</t>
  </si>
  <si>
    <t xml:space="preserve">Transactional email</t>
  </si>
  <si>
    <t xml:space="preserve">Design tools</t>
  </si>
  <si>
    <t xml:space="preserve">Password manager</t>
  </si>
  <si>
    <t xml:space="preserve">Accounting software</t>
  </si>
  <si>
    <t xml:space="preserve">Compliance &amp; legal</t>
  </si>
  <si>
    <t xml:space="preserve">Adult-industry legal retainer</t>
  </si>
  <si>
    <t xml:space="preserve">Policy updates, takedown disputes, contracts</t>
  </si>
  <si>
    <t xml:space="preserve">Accountant &amp; bookkeeping</t>
  </si>
  <si>
    <t xml:space="preserve">Multi-jurisdiction VAT/GST filings</t>
  </si>
  <si>
    <t xml:space="preserve">Contractor payroll / EOR fees</t>
  </si>
  <si>
    <t xml:space="preserve">Anti-piracy / DMCA takedown service</t>
  </si>
  <si>
    <t xml:space="preserve">Card-network high-risk registration (annual / 12)</t>
  </si>
  <si>
    <t xml:space="preserve">Visa + Mastercard; confirm amount with processor</t>
  </si>
  <si>
    <t xml:space="preserve">Annual penetration test (annual / 12)</t>
  </si>
  <si>
    <t xml:space="preserve">Insurance: cyber, E&amp;O, D&amp;O (annual / 12)</t>
  </si>
  <si>
    <t xml:space="preserve">Adult businesses pay more; get quotes</t>
  </si>
  <si>
    <t xml:space="preserve">Registered office / company secretary</t>
  </si>
  <si>
    <t xml:space="preserve">KYC / moderation vendor minimum commitments</t>
  </si>
  <si>
    <t xml:space="preserve">Many vendors have monthly minimums</t>
  </si>
  <si>
    <t xml:space="preserve">Hash-matching / CSAM detection service</t>
  </si>
  <si>
    <t xml:space="preserve">Business banking (high-risk friendly)</t>
  </si>
  <si>
    <t xml:space="preserve">Operations</t>
  </si>
  <si>
    <t xml:space="preserve">Coworking / office</t>
  </si>
  <si>
    <t xml:space="preserve">Domains, SSL, misc</t>
  </si>
  <si>
    <t xml:space="preserve">Marketing</t>
  </si>
  <si>
    <t xml:space="preserve">SEO, content and social</t>
  </si>
  <si>
    <t xml:space="preserve">Creator acquisition spend is separate (CAC)</t>
  </si>
  <si>
    <t xml:space="preserve">Affiliate / referral program management</t>
  </si>
  <si>
    <t xml:space="preserve">Industry events &amp; travel (annual / 12)</t>
  </si>
  <si>
    <t xml:space="preserve">Total monthly recurring (excl. payroll)</t>
  </si>
  <si>
    <t xml:space="preserve">Subtotals by category</t>
  </si>
  <si>
    <t xml:space="preserve">One-time setup costs before / at launch (USD)</t>
  </si>
  <si>
    <t xml:space="preserve">Cost</t>
  </si>
  <si>
    <t xml:space="preserve">Company formation in an adult-workable jurisdiction + registered agent</t>
  </si>
  <si>
    <t xml:space="preserve">e.g. UK Ltd or US LLC; get counsel first</t>
  </si>
  <si>
    <t xml:space="preserve">Adult-industry counsel: ToS, creator &amp; agency agreements, AUP, privacy, 2257, DMCA</t>
  </si>
  <si>
    <t xml:space="preserve">Tax structuring advice (VAT/GST, cross-border, transfer pricing)</t>
  </si>
  <si>
    <t xml:space="preserve">Trademark filings for "Lumora" (2-3 jurisdictions)</t>
  </si>
  <si>
    <t xml:space="preserve">Run clearance search first</t>
  </si>
  <si>
    <t xml:space="preserve">Brand identity and landing page imagery</t>
  </si>
  <si>
    <t xml:space="preserve">Remaining engineering: real processor, KYC and moderation integrations; hardening</t>
  </si>
  <si>
    <t xml:space="preserve">Current build uses mock vendors</t>
  </si>
  <si>
    <t xml:space="preserve">Pre-launch penetration test</t>
  </si>
  <si>
    <t xml:space="preserve">Processor and KYC vendor onboarding / setup fees</t>
  </si>
  <si>
    <t xml:space="preserve">Varies by vendor; some charge none</t>
  </si>
  <si>
    <t xml:space="preserve">DMCA agent designation (US Copyright Office)</t>
  </si>
  <si>
    <t xml:space="preserve">Domain, email, SSL setup</t>
  </si>
  <si>
    <t xml:space="preserve">Laptops and equipment</t>
  </si>
  <si>
    <t xml:space="preserve">Launch marketing and creator seeding (first ~100 creators)</t>
  </si>
  <si>
    <t xml:space="preserve">Onboarding bonuses, content shoots, ads</t>
  </si>
  <si>
    <t xml:space="preserve">Legal and compliance contingency</t>
  </si>
  <si>
    <t xml:space="preserve">Total one-time setup</t>
  </si>
  <si>
    <t xml:space="preserve">Monthly projection (USD)</t>
  </si>
  <si>
    <t xml:space="preserve">Line item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</si>
  <si>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</si>
  <si>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</si>
  <si>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</si>
  <si>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</si>
  <si>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</si>
  <si>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</si>
  <si>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</si>
  <si>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</si>
  <si>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</si>
  <si>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</si>
  <si>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</si>
  <si>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</si>
  <si>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</si>
  <si>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</si>
  <si>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</si>
  <si>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</si>
  <si>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</si>
  <si>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</si>
  <si>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</si>
  <si>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</si>
  <si>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</si>
  <si>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</si>
  <si>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</si>
  <si>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</si>
  <si>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</si>
  <si>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</si>
  <si>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</si>
  <si>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</si>
  <si>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</si>
  <si>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</si>
  <si>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</si>
  <si>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</si>
  <si>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</si>
  <si>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</si>
  <si>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</si>
  <si>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</si>
  <si>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Month</t>
  </si>
  <si>
    <t xml:space="preserve">Year</t>
  </si>
  <si>
    <t xml:space="preserve">Creators and fans</t>
  </si>
  <si>
    <t xml:space="preserve">New verified creators</t>
  </si>
  <si>
    <t xml:space="preserve">Active creators (end of month)</t>
  </si>
  <si>
    <t xml:space="preserve">Paying fans per active creator</t>
  </si>
  <si>
    <t xml:space="preserve">Paying fans</t>
  </si>
  <si>
    <t xml:space="preserve">Fan spend / GMV (excl. VAT)</t>
  </si>
  <si>
    <t xml:space="preserve">Transactions</t>
  </si>
  <si>
    <t xml:space="preserve">Revenue</t>
  </si>
  <si>
    <t xml:space="preserve">Platform commission</t>
  </si>
  <si>
    <t xml:space="preserve">Fan service fee</t>
  </si>
  <si>
    <t xml:space="preserve">Less: referral share paid to creators</t>
  </si>
  <si>
    <t xml:space="preserve">Creator Pro subscriptions</t>
  </si>
  <si>
    <t xml:space="preserve">Instant payout fees</t>
  </si>
  <si>
    <t xml:space="preserve">Agency / chatter seats</t>
  </si>
  <si>
    <t xml:space="preserve">Featured placements</t>
  </si>
  <si>
    <t xml:space="preserve">Card processing</t>
  </si>
  <si>
    <t xml:space="preserve">Chargeback fees</t>
  </si>
  <si>
    <t xml:space="preserve">Refunds borne by platform</t>
  </si>
  <si>
    <t xml:space="preserve">Bandwidth / video delivery</t>
  </si>
  <si>
    <t xml:space="preserve">Storage + transcoding</t>
  </si>
  <si>
    <t xml:space="preserve">Automated moderation</t>
  </si>
  <si>
    <t xml:space="preserve">Creator identity verification</t>
  </si>
  <si>
    <t xml:space="preserve">Fan age verification</t>
  </si>
  <si>
    <t xml:space="preserve">Creator payout costs</t>
  </si>
  <si>
    <t xml:space="preserve">Email / push</t>
  </si>
  <si>
    <t xml:space="preserve">Total variable costs</t>
  </si>
  <si>
    <t xml:space="preserve">Contribution margin (% of net revenue)</t>
  </si>
  <si>
    <t xml:space="preserve">Net take rate (contribution % of GMV)</t>
  </si>
  <si>
    <t xml:space="preserve">Team (incl. overhead)</t>
  </si>
  <si>
    <t xml:space="preserve">Recurring costs (Fixed Costs tab)</t>
  </si>
  <si>
    <t xml:space="preserve">Creator acquisition (CAC x new creators)</t>
  </si>
  <si>
    <t xml:space="preserve">Contingency</t>
  </si>
  <si>
    <t xml:space="preserve">Total fixed costs</t>
  </si>
  <si>
    <t xml:space="preserve">Profit</t>
  </si>
  <si>
    <t xml:space="preserve">EBITDA margin (% of net revenue)</t>
  </si>
  <si>
    <t xml:space="preserve">Corporate tax (simplified)</t>
  </si>
  <si>
    <t xml:space="preserve">Break-even helper (month if EBITDA &gt; 0, else 999)</t>
  </si>
  <si>
    <t xml:space="preserve">Cash</t>
  </si>
  <si>
    <t xml:space="preserve">Rolling reserve withheld by processor</t>
  </si>
  <si>
    <t xml:space="preserve">Rolling reserve released</t>
  </si>
  <si>
    <t xml:space="preserve">Cash in bank (end of month)</t>
  </si>
  <si>
    <t xml:space="preserve">Reserve balance held by processor (yours, not spendable)</t>
  </si>
  <si>
    <t xml:space="preserve">Creator funds held (liability; keep in separate account)</t>
  </si>
  <si>
    <t xml:space="preserve">Where $100 of fan spend goes</t>
  </si>
  <si>
    <t xml:space="preserve">Per-user costs (bandwidth, storage, KYC) are excluded here; they are in the Projection.</t>
  </si>
  <si>
    <t xml:space="preserve">Fan service fee used in Model B</t>
  </si>
  <si>
    <t xml:space="preserve">Line</t>
  </si>
  <si>
    <t xml:space="preserve">A: 20% fee, platform pays processing</t>
  </si>
  <si>
    <t xml:space="preserve">B: 20% fee + fan service fee</t>
  </si>
  <si>
    <t xml:space="preserve">C: creator gets 80% of net after processing</t>
  </si>
  <si>
    <t xml:space="preserve">How to read</t>
  </si>
  <si>
    <t xml:space="preserve">Listed price paid by fan</t>
  </si>
  <si>
    <t xml:space="preserve">Fan-facing price excl. VAT</t>
  </si>
  <si>
    <t xml:space="preserve">Model B only</t>
  </si>
  <si>
    <t xml:space="preserve">Total charged to fan</t>
  </si>
  <si>
    <t xml:space="preserve">Processor rate on everything charged</t>
  </si>
  <si>
    <t xml:space="preserve">Paid to creator</t>
  </si>
  <si>
    <t xml:space="preserve">Model C: 80% of the amount after processing</t>
  </si>
  <si>
    <t xml:space="preserve">Referral share</t>
  </si>
  <si>
    <t xml:space="preserve">Blended across referred and non-referred creators</t>
  </si>
  <si>
    <t xml:space="preserve">Platform keeps</t>
  </si>
  <si>
    <t xml:space="preserve">Before people, servers and marketing</t>
  </si>
  <si>
    <t xml:space="preserve">Platform keeps, % of fan payment</t>
  </si>
  <si>
    <t xml:space="preserve">Creator keeps, % of listed price</t>
  </si>
  <si>
    <t xml:space="preserve">Creators compare platforms on this</t>
  </si>
  <si>
    <t xml:space="preserve">Creator lifetime economics (live scenario, mature month 24+)</t>
  </si>
  <si>
    <t xml:space="preserve">Metric</t>
  </si>
  <si>
    <t xml:space="preserve">Formula logic</t>
  </si>
  <si>
    <t xml:space="preserve">Monthly GMV per active creator</t>
  </si>
  <si>
    <t xml:space="preserve">Paying fans x ARPPU</t>
  </si>
  <si>
    <t xml:space="preserve">Monthly platform contribution per creator</t>
  </si>
  <si>
    <t xml:space="preserve">GMV x net take rate in month 36</t>
  </si>
  <si>
    <t xml:space="preserve">Expected creator lifetime (months)</t>
  </si>
  <si>
    <t xml:space="preserve">1 / monthly churn</t>
  </si>
  <si>
    <t xml:space="preserve">Creator lifetime value (LTV)</t>
  </si>
  <si>
    <t xml:space="preserve">Creator acquisition cost (CAC)</t>
  </si>
  <si>
    <t xml:space="preserve">LTV / CAC</t>
  </si>
  <si>
    <t xml:space="preserve">Aim for 3x or more</t>
  </si>
  <si>
    <t xml:space="preserve">CAC payback (months)</t>
  </si>
  <si>
    <t xml:space="preserve">Aim for under 12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</si>
</sst>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\x"/>
    <numFmt numFmtId="169" formatCode="\$#,##0.00;&quot;($&quot;#,##0.00\);\-"/>
    <numFmt numFmtId="170" formatCode="\$#,##0"/>
    <numFmt numFmtId="171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E8F7"/>
        <bgColor rgb="FFD9D9D9"/>
      </patternFill>
    </fill>
    <fill>
      <patternFill patternType="solid">
        <fgColor rgb="FF3B1F5C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EEE8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1F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GMV vs net revenue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Projection!A11</c:f>
              <c:strCache>
                <c:ptCount val="1"/>
                <c:pt idx="0">
                  <c:v>Fan spend / GMV (excl. VAT)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Projection!$C$3:$AL$3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Projection!$B$11:$AL$11</c:f>
              <c:numCache>
                <c:formatCode>\$#,##0;"($"#,##0\);\-</c:formatCode>
                <c:ptCount val="37"/>
                <c:pt idx="1">
                  <c:v>12000</c:v>
                </c:pt>
                <c:pt idx="2">
                  <c:v>26332.1739130435</c:v>
                </c:pt>
                <c:pt idx="3">
                  <c:v>43283.8956521739</c:v>
                </c:pt>
                <c:pt idx="4">
                  <c:v>63191.8434782609</c:v>
                </c:pt>
                <c:pt idx="5">
                  <c:v>86448.3830817391</c:v>
                </c:pt>
                <c:pt idx="6">
                  <c:v>113508.879930157</c:v>
                </c:pt>
                <c:pt idx="7">
                  <c:v>144900.06383429</c:v>
                </c:pt>
                <c:pt idx="8">
                  <c:v>181229.585405072</c:v>
                </c:pt>
                <c:pt idx="9">
                  <c:v>223196.922993493</c:v>
                </c:pt>
                <c:pt idx="10">
                  <c:v>271605.820116231</c:v>
                </c:pt>
                <c:pt idx="11">
                  <c:v>327378.457599014</c:v>
                </c:pt>
                <c:pt idx="12">
                  <c:v>391571.59208824</c:v>
                </c:pt>
                <c:pt idx="13">
                  <c:v>459442.06588042</c:v>
                </c:pt>
                <c:pt idx="14">
                  <c:v>531102.989811796</c:v>
                </c:pt>
                <c:pt idx="15">
                  <c:v>606683.407419091</c:v>
                </c:pt>
                <c:pt idx="16">
                  <c:v>686328.138591282</c:v>
                </c:pt>
                <c:pt idx="17">
                  <c:v>770197.68925636</c:v>
                </c:pt>
                <c:pt idx="18">
                  <c:v>858468.224651751</c:v>
                </c:pt>
                <c:pt idx="19">
                  <c:v>951331.604008919</c:v>
                </c:pt>
                <c:pt idx="20">
                  <c:v>1048995.47474967</c:v>
                </c:pt>
                <c:pt idx="21">
                  <c:v>1151683.42454507</c:v>
                </c:pt>
                <c:pt idx="22">
                  <c:v>1259635.18982888</c:v>
                </c:pt>
                <c:pt idx="23">
                  <c:v>1373106.91958691</c:v>
                </c:pt>
                <c:pt idx="24">
                  <c:v>1492371.49346291</c:v>
                </c:pt>
                <c:pt idx="25">
                  <c:v>1576590.44698837</c:v>
                </c:pt>
                <c:pt idx="26">
                  <c:v>1662706.71302763</c:v>
                </c:pt>
                <c:pt idx="27">
                  <c:v>1750884.47081887</c:v>
                </c:pt>
                <c:pt idx="28">
                  <c:v>1841289.16956556</c:v>
                </c:pt>
                <c:pt idx="29">
                  <c:v>1934087.89706727</c:v>
                </c:pt>
                <c:pt idx="30">
                  <c:v>2029449.74402591</c:v>
                </c:pt>
                <c:pt idx="31">
                  <c:v>2127546.16499834</c:v>
                </c:pt>
                <c:pt idx="32">
                  <c:v>2228551.33693699</c:v>
                </c:pt>
                <c:pt idx="33">
                  <c:v>2332642.51623285</c:v>
                </c:pt>
                <c:pt idx="34">
                  <c:v>2440000.39515145</c:v>
                </c:pt>
                <c:pt idx="35">
                  <c:v>2550809.45853063</c:v>
                </c:pt>
                <c:pt idx="36">
                  <c:v>2665258.3415906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Projection!A21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Projection!$C$3:$AL$3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Projection!$B$21:$AL$21</c:f>
              <c:numCache>
                <c:formatCode>\$#,##0;"($"#,##0\);\-</c:formatCode>
                <c:ptCount val="37"/>
                <c:pt idx="1">
                  <c:v>2620</c:v>
                </c:pt>
                <c:pt idx="2">
                  <c:v>5717.37773913044</c:v>
                </c:pt>
                <c:pt idx="3">
                  <c:v>9351.76311652174</c:v>
                </c:pt>
                <c:pt idx="4">
                  <c:v>13592.8336187826</c:v>
                </c:pt>
                <c:pt idx="5">
                  <c:v>18521.6157582414</c:v>
                </c:pt>
                <c:pt idx="6">
                  <c:v>24231.9749302264</c:v>
                </c:pt>
                <c:pt idx="7">
                  <c:v>30832.318582873</c:v>
                </c:pt>
                <c:pt idx="8">
                  <c:v>38447.5409697811</c:v>
                </c:pt>
                <c:pt idx="9">
                  <c:v>47221.241576488</c:v>
                </c:pt>
                <c:pt idx="10">
                  <c:v>57318.2536346293</c:v>
                </c:pt>
                <c:pt idx="11">
                  <c:v>68927.5240288731</c:v>
                </c:pt>
                <c:pt idx="12">
                  <c:v>82265.391435875</c:v>
                </c:pt>
                <c:pt idx="13">
                  <c:v>96331.1806001341</c:v>
                </c:pt>
                <c:pt idx="14">
                  <c:v>111148.817156448</c:v>
                </c:pt>
                <c:pt idx="15">
                  <c:v>126745.355982688</c:v>
                </c:pt>
                <c:pt idx="16">
                  <c:v>143150.954357239</c:v>
                </c:pt>
                <c:pt idx="17">
                  <c:v>160398.858062848</c:v>
                </c:pt>
                <c:pt idx="18">
                  <c:v>178525.399963507</c:v>
                </c:pt>
                <c:pt idx="19">
                  <c:v>197570.010636295</c:v>
                </c:pt>
                <c:pt idx="20">
                  <c:v>217575.240692527</c:v>
                </c:pt>
                <c:pt idx="21">
                  <c:v>238586.794472264</c:v>
                </c:pt>
                <c:pt idx="22">
                  <c:v>260653.574843569</c:v>
                </c:pt>
                <c:pt idx="23">
                  <c:v>283827.738882993</c:v>
                </c:pt>
                <c:pt idx="24">
                  <c:v>308164.764256802</c:v>
                </c:pt>
                <c:pt idx="25">
                  <c:v>325555.416700118</c:v>
                </c:pt>
                <c:pt idx="26">
                  <c:v>343337.851528785</c:v>
                </c:pt>
                <c:pt idx="27">
                  <c:v>361545.970660958</c:v>
                </c:pt>
                <c:pt idx="28">
                  <c:v>380213.938254157</c:v>
                </c:pt>
                <c:pt idx="29">
                  <c:v>399376.256825078</c:v>
                </c:pt>
                <c:pt idx="30">
                  <c:v>419067.842476391</c:v>
                </c:pt>
                <c:pt idx="31">
                  <c:v>439324.099431058</c:v>
                </c:pt>
                <c:pt idx="32">
                  <c:v>460180.994068575</c:v>
                </c:pt>
                <c:pt idx="33">
                  <c:v>481675.128651976</c:v>
                </c:pt>
                <c:pt idx="34">
                  <c:v>503843.814929473</c:v>
                </c:pt>
                <c:pt idx="35">
                  <c:v>526725.147790186</c:v>
                </c:pt>
                <c:pt idx="36">
                  <c:v>550358.079149515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06493"/>
        <c:axId val="7478228"/>
      </c:lineChart>
      <c:catAx>
        <c:axId val="51064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8228"/>
        <c:crosses val="autoZero"/>
        <c:auto val="1"/>
        <c:lblAlgn val="ctr"/>
        <c:lblOffset val="100"/>
        <c:noMultiLvlLbl val="0"/>
      </c:catAx>
      <c:valAx>
        <c:axId val="7478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6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EBITDA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Projection!A44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Projection!$C$3:$AL$3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Projection!$B$44:$AL$44</c:f>
              <c:numCache>
                <c:formatCode>\$#,##0;"($"#,##0\);\-</c:formatCode>
                <c:ptCount val="37"/>
                <c:pt idx="1">
                  <c:v>-55733.8</c:v>
                </c:pt>
                <c:pt idx="2">
                  <c:v>-55610.8742608696</c:v>
                </c:pt>
                <c:pt idx="3">
                  <c:v>-55416.6781634783</c:v>
                </c:pt>
                <c:pt idx="4">
                  <c:v>-57038.8673012174</c:v>
                </c:pt>
                <c:pt idx="5">
                  <c:v>-56670.4731749426</c:v>
                </c:pt>
                <c:pt idx="6">
                  <c:v>-56194.6099323381</c:v>
                </c:pt>
                <c:pt idx="7">
                  <c:v>-55594.1351760279</c:v>
                </c:pt>
                <c:pt idx="8">
                  <c:v>-54848.7585070185</c:v>
                </c:pt>
                <c:pt idx="9">
                  <c:v>-53934.5905774818</c:v>
                </c:pt>
                <c:pt idx="10">
                  <c:v>-52823.6244136833</c:v>
                </c:pt>
                <c:pt idx="11">
                  <c:v>-51483.1396197815</c:v>
                </c:pt>
                <c:pt idx="12">
                  <c:v>-49875.0187678338</c:v>
                </c:pt>
                <c:pt idx="13">
                  <c:v>-65085.2822481616</c:v>
                </c:pt>
                <c:pt idx="14">
                  <c:v>-61627.7973829655</c:v>
                </c:pt>
                <c:pt idx="15">
                  <c:v>-57965.1430173811</c:v>
                </c:pt>
                <c:pt idx="16">
                  <c:v>-54089.9811595246</c:v>
                </c:pt>
                <c:pt idx="17">
                  <c:v>-49994.0650913727</c:v>
                </c:pt>
                <c:pt idx="18">
                  <c:v>-45668.2436494852</c:v>
                </c:pt>
                <c:pt idx="19">
                  <c:v>-41102.4618134322</c:v>
                </c:pt>
                <c:pt idx="20">
                  <c:v>-36285.7577234824</c:v>
                </c:pt>
                <c:pt idx="21">
                  <c:v>-31206.2562336459</c:v>
                </c:pt>
                <c:pt idx="22">
                  <c:v>-25851.1590914759</c:v>
                </c:pt>
                <c:pt idx="23">
                  <c:v>-20206.7318220509</c:v>
                </c:pt>
                <c:pt idx="24">
                  <c:v>-14258.2873802291</c:v>
                </c:pt>
                <c:pt idx="25">
                  <c:v>-10514.0822859083</c:v>
                </c:pt>
                <c:pt idx="26">
                  <c:v>-6709.26878318656</c:v>
                </c:pt>
                <c:pt idx="27">
                  <c:v>-2836.07294800528</c:v>
                </c:pt>
                <c:pt idx="28">
                  <c:v>1113.26912539266</c:v>
                </c:pt>
                <c:pt idx="29">
                  <c:v>5146.5301822474</c:v>
                </c:pt>
                <c:pt idx="30">
                  <c:v>9271.51026386596</c:v>
                </c:pt>
                <c:pt idx="31">
                  <c:v>13496.0548162895</c:v>
                </c:pt>
                <c:pt idx="32">
                  <c:v>17828.072502298</c:v>
                </c:pt>
                <c:pt idx="33">
                  <c:v>22275.5527661453</c:v>
                </c:pt>
                <c:pt idx="34">
                  <c:v>26846.5831987212</c:v>
                </c:pt>
                <c:pt idx="35">
                  <c:v>31549.3667492845</c:v>
                </c:pt>
                <c:pt idx="36">
                  <c:v>36392.2388285132</c:v>
                </c:pt>
              </c:numCache>
            </c:numRef>
          </c:val>
        </c:ser>
        <c:gapWidth val="150"/>
        <c:overlap val="0"/>
        <c:axId val="81731921"/>
        <c:axId val="85103500"/>
      </c:barChart>
      <c:catAx>
        <c:axId val="81731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03500"/>
        <c:crosses val="autoZero"/>
        <c:auto val="1"/>
        <c:lblAlgn val="ctr"/>
        <c:lblOffset val="100"/>
        <c:noMultiLvlLbl val="0"/>
      </c:catAx>
      <c:valAx>
        <c:axId val="85103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31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in bank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Projection!A53</c:f>
              <c:strCache>
                <c:ptCount val="1"/>
                <c:pt idx="0">
                  <c:v>Cash in bank (end of month)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Projection!$C$3:$AL$3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Projection!$B$53:$AL$53</c:f>
              <c:numCache>
                <c:formatCode>\$#,##0;"($"#,##0\);\-</c:formatCode>
                <c:ptCount val="37"/>
                <c:pt idx="1">
                  <c:v>111860.2</c:v>
                </c:pt>
                <c:pt idx="2">
                  <c:v>53616.1083478261</c:v>
                </c:pt>
                <c:pt idx="3">
                  <c:v>-6128.95938086956</c:v>
                </c:pt>
                <c:pt idx="4">
                  <c:v>-69487.011029913</c:v>
                </c:pt>
                <c:pt idx="5">
                  <c:v>-134802.32251303</c:v>
                </c:pt>
                <c:pt idx="6">
                  <c:v>-202347.820438383</c:v>
                </c:pt>
                <c:pt idx="7">
                  <c:v>-271231.96199784</c:v>
                </c:pt>
                <c:pt idx="8">
                  <c:v>-341570.461654062</c:v>
                </c:pt>
                <c:pt idx="9">
                  <c:v>-413496.354965675</c:v>
                </c:pt>
                <c:pt idx="10">
                  <c:v>-487161.377043156</c:v>
                </c:pt>
                <c:pt idx="11">
                  <c:v>-562737.524114665</c:v>
                </c:pt>
                <c:pt idx="12">
                  <c:v>-640418.814098307</c:v>
                </c:pt>
                <c:pt idx="13">
                  <c:v>-736958.296551081</c:v>
                </c:pt>
                <c:pt idx="14">
                  <c:v>-833573.434374719</c:v>
                </c:pt>
                <c:pt idx="15">
                  <c:v>-929887.22583466</c:v>
                </c:pt>
                <c:pt idx="16">
                  <c:v>-1025449.43884169</c:v>
                </c:pt>
                <c:pt idx="17">
                  <c:v>-1119725.4270988</c:v>
                </c:pt>
                <c:pt idx="18">
                  <c:v>-1212083.33400463</c:v>
                </c:pt>
                <c:pt idx="19">
                  <c:v>-1302374.74963092</c:v>
                </c:pt>
                <c:pt idx="20">
                  <c:v>-1390449.75584819</c:v>
                </c:pt>
                <c:pt idx="21">
                  <c:v>-1476156.01379443</c:v>
                </c:pt>
                <c:pt idx="22">
                  <c:v>-1559337.87800966</c:v>
                </c:pt>
                <c:pt idx="23">
                  <c:v>-1639835.53286477</c:v>
                </c:pt>
                <c:pt idx="24">
                  <c:v>-1717484.14712611</c:v>
                </c:pt>
                <c:pt idx="25">
                  <c:v>-1790524.11370997</c:v>
                </c:pt>
                <c:pt idx="26">
                  <c:v>-1858604.50632095</c:v>
                </c:pt>
                <c:pt idx="27">
                  <c:v>-1921360.68389634</c:v>
                </c:pt>
                <c:pt idx="28">
                  <c:v>-1978691.13002596</c:v>
                </c:pt>
                <c:pt idx="29">
                  <c:v>-2030929.33013731</c:v>
                </c:pt>
                <c:pt idx="30">
                  <c:v>-2077683.52249571</c:v>
                </c:pt>
                <c:pt idx="31">
                  <c:v>-2122657.05318449</c:v>
                </c:pt>
                <c:pt idx="32">
                  <c:v>-2165870.4611987</c:v>
                </c:pt>
                <c:pt idx="33">
                  <c:v>-2207339.60116549</c:v>
                </c:pt>
                <c:pt idx="34">
                  <c:v>-2247075.78632504</c:v>
                </c:pt>
                <c:pt idx="35">
                  <c:v>-2285085.91740942</c:v>
                </c:pt>
                <c:pt idx="36">
                  <c:v>-2321372.5980445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404839"/>
        <c:axId val="7511701"/>
      </c:lineChart>
      <c:catAx>
        <c:axId val="26404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1701"/>
        <c:crosses val="autoZero"/>
        <c:auto val="1"/>
        <c:lblAlgn val="ctr"/>
        <c:lblOffset val="100"/>
        <c:noMultiLvlLbl val="0"/>
      </c:catAx>
      <c:valAx>
        <c:axId val="7511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04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130680</xdr:rowOff>
    </xdr:from>
    <xdr:to>
      <xdr:col>3</xdr:col>
      <xdr:colOff>621720</xdr:colOff>
      <xdr:row>31</xdr:row>
      <xdr:rowOff>163440</xdr:rowOff>
    </xdr:to>
    <xdr:graphicFrame>
      <xdr:nvGraphicFramePr>
        <xdr:cNvPr id="0" name="Chart 1"/>
        <xdr:cNvGraphicFramePr/>
      </xdr:nvGraphicFramePr>
      <xdr:xfrm>
        <a:off x="0" y="34290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131040</xdr:rowOff>
    </xdr:from>
    <xdr:to>
      <xdr:col>3</xdr:col>
      <xdr:colOff>621720</xdr:colOff>
      <xdr:row>47</xdr:row>
      <xdr:rowOff>163440</xdr:rowOff>
    </xdr:to>
    <xdr:graphicFrame>
      <xdr:nvGraphicFramePr>
        <xdr:cNvPr id="1" name="Chart 2"/>
        <xdr:cNvGraphicFramePr/>
      </xdr:nvGraphicFramePr>
      <xdr:xfrm>
        <a:off x="0" y="64771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33</xdr:row>
      <xdr:rowOff>131040</xdr:rowOff>
    </xdr:from>
    <xdr:to>
      <xdr:col>9</xdr:col>
      <xdr:colOff>103680</xdr:colOff>
      <xdr:row>47</xdr:row>
      <xdr:rowOff>163440</xdr:rowOff>
    </xdr:to>
    <xdr:graphicFrame>
      <xdr:nvGraphicFramePr>
        <xdr:cNvPr id="2" name="Chart 3"/>
        <xdr:cNvGraphicFramePr/>
      </xdr:nvGraphicFramePr>
      <xdr:xfrm>
        <a:off x="6907680" y="64771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/>
      <c r="B1" s="2" t="s">
        <v>0</v>
      </c>
    </row>
    <row r="2" customFormat="false" ht="26.8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3" t="s">
        <v>2</v>
      </c>
    </row>
    <row r="4" customFormat="false" ht="15" hidden="false" customHeight="false" outlineLevel="0" collapsed="false">
      <c r="A4" s="1"/>
      <c r="B4" s="4" t="s">
        <v>3</v>
      </c>
    </row>
    <row r="5" customFormat="false" ht="15" hidden="false" customHeight="false" outlineLevel="0" collapsed="false">
      <c r="A5" s="1"/>
      <c r="B5" s="3" t="s">
        <v>4</v>
      </c>
    </row>
    <row r="6" customFormat="false" ht="15" hidden="false" customHeight="false" outlineLevel="0" collapsed="false">
      <c r="A6" s="1"/>
      <c r="B6" s="3" t="s">
        <v>5</v>
      </c>
    </row>
    <row r="7" customFormat="false" ht="15" hidden="false" customHeight="false" outlineLevel="0" collapsed="false">
      <c r="A7" s="1"/>
      <c r="B7" s="3" t="s">
        <v>6</v>
      </c>
    </row>
    <row r="8" customFormat="false" ht="26.85" hidden="false" customHeight="false" outlineLevel="0" collapsed="false">
      <c r="A8" s="1"/>
      <c r="B8" s="3" t="s">
        <v>7</v>
      </c>
    </row>
    <row r="9" customFormat="false" ht="15" hidden="false" customHeight="false" outlineLevel="0" collapsed="false">
      <c r="A9" s="1"/>
      <c r="B9" s="4" t="s">
        <v>8</v>
      </c>
    </row>
    <row r="10" customFormat="false" ht="15" hidden="false" customHeight="false" outlineLevel="0" collapsed="false">
      <c r="A10" s="1"/>
      <c r="B10" s="3" t="s">
        <v>9</v>
      </c>
    </row>
    <row r="11" customFormat="false" ht="15" hidden="false" customHeight="false" outlineLevel="0" collapsed="false">
      <c r="A11" s="1"/>
      <c r="B11" s="3" t="s">
        <v>10</v>
      </c>
    </row>
    <row r="12" customFormat="false" ht="15" hidden="false" customHeight="false" outlineLevel="0" collapsed="false">
      <c r="A12" s="1"/>
      <c r="B12" s="3" t="s">
        <v>11</v>
      </c>
    </row>
    <row r="13" customFormat="false" ht="15" hidden="false" customHeight="false" outlineLevel="0" collapsed="false">
      <c r="A13" s="1"/>
      <c r="B13" s="3" t="s">
        <v>12</v>
      </c>
    </row>
    <row r="14" customFormat="false" ht="15" hidden="false" customHeight="false" outlineLevel="0" collapsed="false">
      <c r="A14" s="1"/>
      <c r="B14" s="3" t="s">
        <v>13</v>
      </c>
    </row>
    <row r="15" customFormat="false" ht="15" hidden="false" customHeight="false" outlineLevel="0" collapsed="false">
      <c r="A15" s="1"/>
      <c r="B15" s="3" t="s">
        <v>14</v>
      </c>
    </row>
    <row r="16" customFormat="false" ht="15" hidden="false" customHeight="false" outlineLevel="0" collapsed="false">
      <c r="A16" s="1"/>
      <c r="B16" s="3" t="s">
        <v>15</v>
      </c>
    </row>
    <row r="17" customFormat="false" ht="15" hidden="false" customHeight="false" outlineLevel="0" collapsed="false">
      <c r="A17" s="1"/>
      <c r="B17" s="4" t="s">
        <v>16</v>
      </c>
    </row>
    <row r="18" customFormat="false" ht="26.85" hidden="false" customHeight="false" outlineLevel="0" collapsed="false">
      <c r="A18" s="1"/>
      <c r="B18" s="3" t="s">
        <v>17</v>
      </c>
    </row>
    <row r="19" customFormat="false" ht="26.85" hidden="false" customHeight="false" outlineLevel="0" collapsed="false">
      <c r="A19" s="1"/>
      <c r="B19" s="3" t="s">
        <v>18</v>
      </c>
    </row>
    <row r="20" customFormat="false" ht="15" hidden="false" customHeight="false" outlineLevel="0" collapsed="false">
      <c r="A20" s="1"/>
      <c r="B20" s="3" t="s">
        <v>19</v>
      </c>
    </row>
    <row r="21" customFormat="false" ht="15" hidden="false" customHeight="false" outlineLevel="0" collapsed="false">
      <c r="A21" s="1"/>
      <c r="B21" s="3" t="s">
        <v>20</v>
      </c>
    </row>
    <row r="22" customFormat="false" ht="15" hidden="false" customHeight="false" outlineLevel="0" collapsed="false">
      <c r="A22" s="1"/>
      <c r="B22" s="3" t="s">
        <v>21</v>
      </c>
    </row>
    <row r="23" customFormat="false" ht="15" hidden="false" customHeight="false" outlineLevel="0" collapsed="false">
      <c r="A23" s="1"/>
      <c r="B23" s="3" t="s">
        <v>22</v>
      </c>
    </row>
    <row r="24" customFormat="false" ht="26.85" hidden="false" customHeight="false" outlineLevel="0" collapsed="false">
      <c r="A24" s="1"/>
      <c r="B24" s="3" t="s">
        <v>23</v>
      </c>
    </row>
    <row r="25" customFormat="false" ht="15" hidden="false" customHeight="false" outlineLevel="0" collapsed="false">
      <c r="A25" s="1"/>
      <c r="B25" s="4" t="s">
        <v>24</v>
      </c>
    </row>
    <row r="26" customFormat="false" ht="39.55" hidden="false" customHeight="false" outlineLevel="0" collapsed="false">
      <c r="A26" s="1"/>
      <c r="B26" s="3" t="s">
        <v>25</v>
      </c>
    </row>
    <row r="27" customFormat="false" ht="26.85" hidden="false" customHeight="false" outlineLevel="0" collapsed="false">
      <c r="A27" s="1"/>
      <c r="B27" s="3" t="s">
        <v>26</v>
      </c>
    </row>
    <row r="28" customFormat="false" ht="15" hidden="false" customHeight="false" outlineLevel="0" collapsed="false">
      <c r="A28" s="1"/>
      <c r="B28" s="3" t="s">
        <v>27</v>
      </c>
    </row>
    <row r="29" customFormat="false" ht="15" hidden="false" customHeight="false" outlineLevel="0" collapsed="false">
      <c r="A29" s="1"/>
      <c r="B29" s="3" t="s">
        <v>28</v>
      </c>
    </row>
    <row r="30" customFormat="false" ht="15" hidden="false" customHeight="false" outlineLevel="0" collapsed="false">
      <c r="A30" s="1"/>
      <c r="B30" s="3" t="s">
        <v>29</v>
      </c>
    </row>
    <row r="31" customFormat="false" ht="15" hidden="false" customHeight="false" outlineLevel="0" collapsed="false">
      <c r="A31" s="1"/>
      <c r="B31" s="3" t="s">
        <v>30</v>
      </c>
    </row>
    <row r="32" customFormat="false" ht="15" hidden="false" customHeight="false" outlineLevel="0" collapsed="false">
      <c r="A32" s="1"/>
      <c r="B32" s="3" t="s">
        <v>31</v>
      </c>
    </row>
    <row r="33" customFormat="false" ht="15" hidden="false" customHeight="false" outlineLevel="0" collapsed="false">
      <c r="A33" s="1"/>
      <c r="B33" s="3" t="s">
        <v>32</v>
      </c>
    </row>
    <row r="34" customFormat="false" ht="15" hidden="false" customHeight="false" outlineLevel="0" collapsed="false">
      <c r="A34" s="1"/>
      <c r="B34" s="4" t="s">
        <v>33</v>
      </c>
    </row>
    <row r="35" customFormat="false" ht="26.85" hidden="false" customHeight="false" outlineLevel="0" collapsed="false">
      <c r="A35" s="1"/>
      <c r="B35" s="3" t="s">
        <v>34</v>
      </c>
    </row>
    <row r="36" customFormat="false" ht="26.85" hidden="false" customHeight="false" outlineLevel="0" collapsed="false">
      <c r="A36" s="1"/>
      <c r="B36" s="3" t="s">
        <v>35</v>
      </c>
    </row>
    <row r="37" customFormat="false" ht="26.85" hidden="false" customHeight="false" outlineLevel="0" collapsed="false">
      <c r="A37" s="1"/>
      <c r="B37" s="3" t="s">
        <v>36</v>
      </c>
    </row>
    <row r="38" customFormat="false" ht="26.85" hidden="false" customHeight="false" outlineLevel="0" collapsed="false">
      <c r="A38" s="1"/>
      <c r="B38" s="3" t="s">
        <v>37</v>
      </c>
    </row>
    <row r="39" customFormat="false" ht="26.85" hidden="false" customHeight="false" outlineLevel="0" collapsed="false">
      <c r="A39" s="1"/>
      <c r="B39" s="3" t="s">
        <v>38</v>
      </c>
    </row>
    <row r="40" customFormat="false" ht="26.85" hidden="false" customHeight="false" outlineLevel="0" collapsed="false">
      <c r="A40" s="1"/>
      <c r="B40" s="3" t="s">
        <v>39</v>
      </c>
    </row>
    <row r="41" customFormat="false" ht="15" hidden="false" customHeight="false" outlineLevel="0" collapsed="false">
      <c r="A41" s="1"/>
      <c r="B41" s="3" t="s">
        <v>40</v>
      </c>
    </row>
    <row r="42" customFormat="false" ht="26.85" hidden="false" customHeight="false" outlineLevel="0" collapsed="false">
      <c r="A42" s="1"/>
      <c r="B42" s="3" t="s">
        <v>41</v>
      </c>
    </row>
    <row r="43" customFormat="false" ht="26.85" hidden="false" customHeight="false" outlineLevel="0" collapsed="false">
      <c r="A43" s="1"/>
      <c r="B43" s="3" t="s">
        <v>42</v>
      </c>
    </row>
    <row r="44" customFormat="false" ht="15" hidden="false" customHeight="false" outlineLevel="0" collapsed="false">
      <c r="A44" s="1"/>
      <c r="B44" s="4" t="s">
        <v>43</v>
      </c>
    </row>
    <row r="45" customFormat="false" ht="26.85" hidden="false" customHeight="false" outlineLevel="0" collapsed="false">
      <c r="A45" s="1"/>
      <c r="B45" s="3" t="s">
        <v>44</v>
      </c>
    </row>
    <row r="46" customFormat="false" ht="15" hidden="false" customHeight="false" outlineLevel="0" collapsed="false">
      <c r="A46" s="1"/>
      <c r="B46" s="3" t="s">
        <v>45</v>
      </c>
    </row>
    <row r="47" customFormat="false" ht="15" hidden="false" customHeight="false" outlineLevel="0" collapsed="false">
      <c r="A47" s="1"/>
      <c r="B47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50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5" t="s">
        <v>47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6" t="str">
        <f aca="false">"Scenario: "&amp;Assumptions!$C$4&amp;"   |   All figures USD, planning estimates"</f>
        <v>Scenario: Base   |   All figures USD, planning estimates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7" t="s">
        <v>48</v>
      </c>
      <c r="B4" s="7" t="s">
        <v>49</v>
      </c>
      <c r="C4" s="7" t="s">
        <v>50</v>
      </c>
      <c r="D4" s="7" t="s">
        <v>51</v>
      </c>
      <c r="E4" s="1"/>
      <c r="F4" s="7" t="s">
        <v>52</v>
      </c>
      <c r="G4" s="7" t="s">
        <v>53</v>
      </c>
    </row>
    <row r="5" customFormat="false" ht="15" hidden="false" customHeight="false" outlineLevel="0" collapsed="false">
      <c r="A5" s="8" t="s">
        <v>54</v>
      </c>
      <c r="B5" s="9" t="n">
        <f aca="false">INDEX(Projection!$C$8:$AL$8,1,12)</f>
        <v>760.012372829494</v>
      </c>
      <c r="C5" s="9" t="n">
        <f aca="false">INDEX(Projection!$C$8:$AL$8,1,24)</f>
        <v>1989.82865795055</v>
      </c>
      <c r="D5" s="9" t="n">
        <f aca="false">INDEX(Projection!$C$8:$AL$8,1,36)</f>
        <v>3553.67778878747</v>
      </c>
      <c r="E5" s="1"/>
      <c r="F5" s="1" t="s">
        <v>55</v>
      </c>
      <c r="G5" s="6" t="str">
        <f aca="false">IF(MIN(Projection!$C$48:$AL$48)=999,"Not within 36 months","Month "&amp;MIN(Projection!$C$48:$AL$48))</f>
        <v>Month 28</v>
      </c>
    </row>
    <row r="6" customFormat="false" ht="15" hidden="false" customHeight="false" outlineLevel="0" collapsed="false">
      <c r="A6" s="8" t="s">
        <v>56</v>
      </c>
      <c r="B6" s="9" t="n">
        <f aca="false">INDEX(Projection!$C$10:$AL$10,1,12)</f>
        <v>15662.8636835296</v>
      </c>
      <c r="C6" s="9" t="n">
        <f aca="false">INDEX(Projection!$C$10:$AL$10,1,24)</f>
        <v>59694.8597385165</v>
      </c>
      <c r="D6" s="9" t="n">
        <f aca="false">INDEX(Projection!$C$10:$AL$10,1,36)</f>
        <v>106610.333663624</v>
      </c>
      <c r="E6" s="1"/>
      <c r="F6" s="1" t="s">
        <v>57</v>
      </c>
      <c r="G6" s="10" t="n">
        <f aca="false">MIN(Projection!$C$53:$AL$53)</f>
        <v>-2321372.5980445</v>
      </c>
    </row>
    <row r="7" customFormat="false" ht="15" hidden="false" customHeight="false" outlineLevel="0" collapsed="false">
      <c r="A7" s="8" t="s">
        <v>58</v>
      </c>
      <c r="B7" s="11" t="n">
        <f aca="false">SUMIF(Projection!$C$5:$AL$5,"Y1",Projection!$C$11:$AL$11)</f>
        <v>1884647.61809171</v>
      </c>
      <c r="C7" s="11" t="n">
        <f aca="false">SUMIF(Projection!$C$5:$AL$5,"Y2",Projection!$C$11:$AL$11)</f>
        <v>11189346.621793</v>
      </c>
      <c r="D7" s="11" t="n">
        <f aca="false">SUMIF(Projection!$C$5:$AL$5,"Y3",Projection!$C$11:$AL$11)</f>
        <v>25139816.6549345</v>
      </c>
      <c r="E7" s="1"/>
      <c r="F7" s="1" t="s">
        <v>59</v>
      </c>
      <c r="G7" s="10" t="n">
        <f aca="false">MAX(0,-G6)</f>
        <v>2321372.5980445</v>
      </c>
    </row>
    <row r="8" customFormat="false" ht="15" hidden="false" customHeight="false" outlineLevel="0" collapsed="false">
      <c r="A8" s="6" t="s">
        <v>60</v>
      </c>
      <c r="B8" s="11" t="n">
        <f aca="false">SUMIF(Projection!$C$5:$AL$5,"Y1",Projection!$C$21:$AL$21)</f>
        <v>399047.835391422</v>
      </c>
      <c r="C8" s="11" t="n">
        <f aca="false">SUMIF(Projection!$C$5:$AL$5,"Y2",Projection!$C$21:$AL$21)</f>
        <v>2322678.68990731</v>
      </c>
      <c r="D8" s="11" t="n">
        <f aca="false">SUMIF(Projection!$C$5:$AL$5,"Y3",Projection!$C$21:$AL$21)</f>
        <v>5191204.54046627</v>
      </c>
      <c r="E8" s="1"/>
      <c r="F8" s="1" t="s">
        <v>61</v>
      </c>
      <c r="G8" s="10" t="n">
        <f aca="false">Assumptions!$B$55-G6</f>
        <v>2571372.5980445</v>
      </c>
    </row>
    <row r="9" customFormat="false" ht="15" hidden="false" customHeight="false" outlineLevel="0" collapsed="false">
      <c r="A9" s="8" t="s">
        <v>62</v>
      </c>
      <c r="B9" s="11" t="n">
        <f aca="false">SUMIF(Projection!$C$5:$AL$5,"Y1",Projection!$C$33:$AL$33)</f>
        <v>288232.105658746</v>
      </c>
      <c r="C9" s="11" t="n">
        <f aca="false">SUMIF(Projection!$C$5:$AL$5,"Y2",Projection!$C$33:$AL$33)</f>
        <v>1651305.43981627</v>
      </c>
      <c r="D9" s="11" t="n">
        <f aca="false">SUMIF(Projection!$C$5:$AL$5,"Y3",Projection!$C$33:$AL$33)</f>
        <v>3676602.25874339</v>
      </c>
      <c r="E9" s="1"/>
      <c r="F9" s="1" t="s">
        <v>63</v>
      </c>
      <c r="G9" s="10" t="n">
        <f aca="false">Projection!$C$42</f>
        <v>56347</v>
      </c>
    </row>
    <row r="10" customFormat="false" ht="15" hidden="false" customHeight="false" outlineLevel="0" collapsed="false">
      <c r="A10" s="8" t="s">
        <v>64</v>
      </c>
      <c r="B10" s="11" t="n">
        <f aca="false">SUMIF(Projection!$C$5:$AL$5,"Y1",Projection!$C$34:$AL$34)</f>
        <v>110815.729732676</v>
      </c>
      <c r="C10" s="11" t="n">
        <f aca="false">SUMIF(Projection!$C$5:$AL$5,"Y2",Projection!$C$34:$AL$34)</f>
        <v>671373.250091044</v>
      </c>
      <c r="D10" s="11" t="n">
        <f aca="false">SUMIF(Projection!$C$5:$AL$5,"Y3",Projection!$C$34:$AL$34)</f>
        <v>1514602.28172288</v>
      </c>
      <c r="E10" s="1"/>
      <c r="F10" s="1" t="s">
        <v>65</v>
      </c>
      <c r="G10" s="10" t="n">
        <f aca="false">'Setup Costs'!$B$17</f>
        <v>81206</v>
      </c>
    </row>
    <row r="11" customFormat="false" ht="15" hidden="false" customHeight="false" outlineLevel="0" collapsed="false">
      <c r="A11" s="8" t="s">
        <v>66</v>
      </c>
      <c r="B11" s="11" t="n">
        <f aca="false">SUMIF(Projection!$C$5:$AL$5,"Y1",Projection!$C$42:$AL$42)</f>
        <v>766040.299627349</v>
      </c>
      <c r="C11" s="11" t="n">
        <f aca="false">SUMIF(Projection!$C$5:$AL$5,"Y2",Projection!$C$42:$AL$42)</f>
        <v>1174714.41670425</v>
      </c>
      <c r="D11" s="11" t="n">
        <f aca="false">SUMIF(Projection!$C$5:$AL$5,"Y3",Projection!$C$42:$AL$42)</f>
        <v>1370742.52730722</v>
      </c>
      <c r="E11" s="1"/>
      <c r="F11" s="1" t="s">
        <v>67</v>
      </c>
      <c r="G11" s="10" t="n">
        <f aca="false">INDEX(Projection!$C$11:$AL$11,1,36)*12</f>
        <v>31983100.0990872</v>
      </c>
    </row>
    <row r="12" customFormat="false" ht="15" hidden="false" customHeight="false" outlineLevel="0" collapsed="false">
      <c r="A12" s="6" t="s">
        <v>68</v>
      </c>
      <c r="B12" s="11" t="n">
        <f aca="false">SUMIF(Projection!$C$5:$AL$5,"Y1",Projection!$C$44:$AL$44)</f>
        <v>-655224.569894673</v>
      </c>
      <c r="C12" s="11" t="n">
        <f aca="false">SUMIF(Projection!$C$5:$AL$5,"Y2",Projection!$C$44:$AL$44)</f>
        <v>-503341.166613207</v>
      </c>
      <c r="D12" s="11" t="n">
        <f aca="false">SUMIF(Projection!$C$5:$AL$5,"Y3",Projection!$C$44:$AL$44)</f>
        <v>143859.754415658</v>
      </c>
      <c r="E12" s="1"/>
      <c r="F12" s="1" t="s">
        <v>69</v>
      </c>
      <c r="G12" s="12" t="n">
        <f aca="false">INDEX(Projection!$C$36:$AL$36,1,36)</f>
        <v>0.0602587848377303</v>
      </c>
    </row>
    <row r="13" customFormat="false" ht="15" hidden="false" customHeight="false" outlineLevel="0" collapsed="false">
      <c r="A13" s="8" t="s">
        <v>70</v>
      </c>
      <c r="B13" s="11" t="n">
        <f aca="false">SUMIF(Projection!$C$5:$AL$5,"Y1",Projection!$C$47:$AL$47)</f>
        <v>-655224.569894673</v>
      </c>
      <c r="C13" s="11" t="n">
        <f aca="false">SUMIF(Projection!$C$5:$AL$5,"Y2",Projection!$C$47:$AL$47)</f>
        <v>-503341.166613207</v>
      </c>
      <c r="D13" s="11" t="n">
        <f aca="false">SUMIF(Projection!$C$5:$AL$5,"Y3",Projection!$C$47:$AL$47)</f>
        <v>102879.959807468</v>
      </c>
      <c r="E13" s="1"/>
      <c r="F13" s="1" t="s">
        <v>71</v>
      </c>
      <c r="G13" s="12" t="n">
        <f aca="false">INDEX(Projection!$C$45:$AL$45,1,36)</f>
        <v>0.06612465630513</v>
      </c>
    </row>
    <row r="14" customFormat="false" ht="15" hidden="false" customHeight="false" outlineLevel="0" collapsed="false">
      <c r="A14" s="8" t="s">
        <v>72</v>
      </c>
      <c r="B14" s="11" t="n">
        <f aca="false">SUMIF(Projection!$C$5:$AL$5,"Y1",Projection!$C$52:$AL$52)</f>
        <v>-809212.814098307</v>
      </c>
      <c r="C14" s="11" t="n">
        <f aca="false">SUMIF(Projection!$C$5:$AL$5,"Y2",Projection!$C$52:$AL$52)</f>
        <v>-1077065.33302781</v>
      </c>
      <c r="D14" s="11" t="n">
        <f aca="false">SUMIF(Projection!$C$5:$AL$5,"Y3",Projection!$C$52:$AL$52)</f>
        <v>-603888.450918384</v>
      </c>
      <c r="E14" s="1"/>
      <c r="F14" s="1" t="s">
        <v>73</v>
      </c>
      <c r="G14" s="13" t="n">
        <f aca="false">'Unit Economics'!B26</f>
        <v>5.02156540314419</v>
      </c>
    </row>
    <row r="15" customFormat="false" ht="15" hidden="false" customHeight="false" outlineLevel="0" collapsed="false">
      <c r="A15" s="6" t="s">
        <v>74</v>
      </c>
      <c r="B15" s="11" t="n">
        <f aca="false">INDEX(Projection!$C$53:$AL$53,1,12)</f>
        <v>-640418.814098307</v>
      </c>
      <c r="C15" s="11" t="n">
        <f aca="false">INDEX(Projection!$C$53:$AL$53,1,24)</f>
        <v>-1717484.14712611</v>
      </c>
      <c r="D15" s="11" t="n">
        <f aca="false">INDEX(Projection!$C$53:$AL$53,1,36)</f>
        <v>-2321372.5980445</v>
      </c>
      <c r="E15" s="1"/>
      <c r="F15" s="1" t="s">
        <v>75</v>
      </c>
      <c r="G15" s="14" t="n">
        <f aca="false">'Unit Economics'!B15</f>
        <v>6.61666666666667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 t="s">
        <v>76</v>
      </c>
      <c r="G16" s="14" t="n">
        <f aca="false">'Unit Economics'!C15</f>
        <v>13.59</v>
      </c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5" t="s">
        <v>77</v>
      </c>
      <c r="G1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5" t="s">
        <v>78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5" t="s">
        <v>79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6" t="s">
        <v>80</v>
      </c>
      <c r="B4" s="16" t="n">
        <v>2</v>
      </c>
      <c r="C4" s="1" t="str">
        <f aca="false">INDEX({"Conservative","Base","Aggressive"},1,B4)</f>
        <v>Base</v>
      </c>
      <c r="D4" s="1"/>
      <c r="E4" s="1"/>
      <c r="F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</row>
    <row r="6" customFormat="false" ht="26.85" hidden="false" customHeight="false" outlineLevel="0" collapsed="false">
      <c r="A6" s="7" t="s">
        <v>81</v>
      </c>
      <c r="B6" s="7" t="s">
        <v>82</v>
      </c>
      <c r="C6" s="7" t="s">
        <v>83</v>
      </c>
      <c r="D6" s="7" t="s">
        <v>84</v>
      </c>
      <c r="E6" s="7" t="s">
        <v>85</v>
      </c>
      <c r="F6" s="7" t="s">
        <v>86</v>
      </c>
    </row>
    <row r="7" customFormat="false" ht="15" hidden="false" customHeight="false" outlineLevel="0" collapsed="false">
      <c r="A7" s="8" t="s">
        <v>87</v>
      </c>
      <c r="B7" s="17" t="n">
        <f aca="false">INDEX(C7:E7,1,$B$4)</f>
        <v>40</v>
      </c>
      <c r="C7" s="18" t="n">
        <v>25</v>
      </c>
      <c r="D7" s="18" t="n">
        <v>40</v>
      </c>
      <c r="E7" s="18" t="n">
        <v>60</v>
      </c>
      <c r="F7" s="1" t="s">
        <v>88</v>
      </c>
    </row>
    <row r="8" customFormat="false" ht="15" hidden="false" customHeight="false" outlineLevel="0" collapsed="false">
      <c r="A8" s="8" t="s">
        <v>89</v>
      </c>
      <c r="B8" s="19" t="n">
        <f aca="false">INDEX(C8:E8,1,$B$4)</f>
        <v>0.12</v>
      </c>
      <c r="C8" s="20" t="n">
        <v>0.08</v>
      </c>
      <c r="D8" s="20" t="n">
        <v>0.12</v>
      </c>
      <c r="E8" s="20" t="n">
        <v>0.16</v>
      </c>
      <c r="F8" s="1" t="s">
        <v>90</v>
      </c>
    </row>
    <row r="9" customFormat="false" ht="15" hidden="false" customHeight="false" outlineLevel="0" collapsed="false">
      <c r="A9" s="8" t="s">
        <v>91</v>
      </c>
      <c r="B9" s="19" t="n">
        <f aca="false">INDEX(C9:E9,1,$B$4)</f>
        <v>0.04</v>
      </c>
      <c r="C9" s="20" t="n">
        <v>0.02</v>
      </c>
      <c r="D9" s="20" t="n">
        <v>0.04</v>
      </c>
      <c r="E9" s="20" t="n">
        <v>0.06</v>
      </c>
      <c r="F9" s="1" t="s">
        <v>90</v>
      </c>
    </row>
    <row r="10" customFormat="false" ht="15" hidden="false" customHeight="false" outlineLevel="0" collapsed="false">
      <c r="A10" s="8" t="s">
        <v>92</v>
      </c>
      <c r="B10" s="19" t="n">
        <f aca="false">INDEX(C10:E10,1,$B$4)</f>
        <v>0.06</v>
      </c>
      <c r="C10" s="20" t="n">
        <v>0.08</v>
      </c>
      <c r="D10" s="20" t="n">
        <v>0.06</v>
      </c>
      <c r="E10" s="20" t="n">
        <v>0.045</v>
      </c>
      <c r="F10" s="1" t="s">
        <v>90</v>
      </c>
    </row>
    <row r="11" customFormat="false" ht="15" hidden="false" customHeight="false" outlineLevel="0" collapsed="false">
      <c r="A11" s="8" t="s">
        <v>93</v>
      </c>
      <c r="B11" s="21" t="n">
        <f aca="false">INDEX(C11:E11,1,$B$4)</f>
        <v>12</v>
      </c>
      <c r="C11" s="22" t="n">
        <v>8</v>
      </c>
      <c r="D11" s="22" t="n">
        <v>12</v>
      </c>
      <c r="E11" s="22" t="n">
        <v>15</v>
      </c>
      <c r="F11" s="1" t="s">
        <v>94</v>
      </c>
    </row>
    <row r="12" customFormat="false" ht="15" hidden="false" customHeight="false" outlineLevel="0" collapsed="false">
      <c r="A12" s="8" t="s">
        <v>95</v>
      </c>
      <c r="B12" s="21" t="n">
        <f aca="false">INDEX(C12:E12,1,$B$4)</f>
        <v>30</v>
      </c>
      <c r="C12" s="22" t="n">
        <v>20</v>
      </c>
      <c r="D12" s="22" t="n">
        <v>30</v>
      </c>
      <c r="E12" s="22" t="n">
        <v>40</v>
      </c>
      <c r="F12" s="1" t="s">
        <v>96</v>
      </c>
    </row>
    <row r="13" customFormat="false" ht="15" hidden="false" customHeight="false" outlineLevel="0" collapsed="false">
      <c r="A13" s="8" t="s">
        <v>97</v>
      </c>
      <c r="B13" s="23" t="n">
        <f aca="false">INDEX(C13:E13,1,$B$4)</f>
        <v>25</v>
      </c>
      <c r="C13" s="24" t="n">
        <v>20</v>
      </c>
      <c r="D13" s="24" t="n">
        <v>25</v>
      </c>
      <c r="E13" s="24" t="n">
        <v>30</v>
      </c>
      <c r="F13" s="1" t="s">
        <v>98</v>
      </c>
    </row>
    <row r="14" customFormat="false" ht="15" hidden="false" customHeight="false" outlineLevel="0" collapsed="false">
      <c r="A14" s="8" t="s">
        <v>99</v>
      </c>
      <c r="B14" s="25" t="n">
        <f aca="false">INDEX(C14:E14,1,$B$4)</f>
        <v>150</v>
      </c>
      <c r="C14" s="26" t="n">
        <v>200</v>
      </c>
      <c r="D14" s="26" t="n">
        <v>150</v>
      </c>
      <c r="E14" s="26" t="n">
        <v>120</v>
      </c>
      <c r="F14" s="1" t="s">
        <v>100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</row>
    <row r="16" customFormat="false" ht="15" hidden="false" customHeight="false" outlineLevel="0" collapsed="false">
      <c r="A16" s="7" t="s">
        <v>101</v>
      </c>
      <c r="B16" s="7" t="s">
        <v>53</v>
      </c>
      <c r="C16" s="7" t="s">
        <v>102</v>
      </c>
      <c r="D16" s="7"/>
      <c r="E16" s="7"/>
      <c r="F16" s="7" t="s">
        <v>103</v>
      </c>
    </row>
    <row r="17" customFormat="false" ht="15" hidden="false" customHeight="false" outlineLevel="0" collapsed="false">
      <c r="A17" s="1" t="s">
        <v>104</v>
      </c>
      <c r="B17" s="20" t="n">
        <v>0.2</v>
      </c>
      <c r="C17" s="1" t="s">
        <v>105</v>
      </c>
      <c r="D17" s="1"/>
      <c r="E17" s="1"/>
      <c r="F17" s="1" t="s">
        <v>106</v>
      </c>
    </row>
    <row r="18" customFormat="false" ht="15" hidden="false" customHeight="false" outlineLevel="0" collapsed="false">
      <c r="A18" s="1" t="s">
        <v>107</v>
      </c>
      <c r="B18" s="20" t="n">
        <v>0</v>
      </c>
      <c r="C18" s="1" t="s">
        <v>105</v>
      </c>
      <c r="D18" s="1"/>
      <c r="E18" s="1"/>
      <c r="F18" s="1" t="s">
        <v>108</v>
      </c>
    </row>
    <row r="19" customFormat="false" ht="15" hidden="false" customHeight="false" outlineLevel="0" collapsed="false">
      <c r="A19" s="1" t="s">
        <v>109</v>
      </c>
      <c r="B19" s="20" t="n">
        <v>0.12</v>
      </c>
      <c r="C19" s="1" t="s">
        <v>110</v>
      </c>
      <c r="D19" s="1"/>
      <c r="E19" s="1"/>
      <c r="F19" s="1" t="s">
        <v>111</v>
      </c>
    </row>
    <row r="20" customFormat="false" ht="15" hidden="false" customHeight="false" outlineLevel="0" collapsed="false">
      <c r="A20" s="1" t="s">
        <v>112</v>
      </c>
      <c r="B20" s="24" t="n">
        <v>0</v>
      </c>
      <c r="C20" s="1" t="s">
        <v>113</v>
      </c>
      <c r="D20" s="1"/>
      <c r="E20" s="1"/>
      <c r="F20" s="1" t="s">
        <v>114</v>
      </c>
    </row>
    <row r="21" customFormat="false" ht="15" hidden="false" customHeight="false" outlineLevel="0" collapsed="false">
      <c r="A21" s="1" t="s">
        <v>115</v>
      </c>
      <c r="B21" s="24" t="n">
        <v>15</v>
      </c>
      <c r="C21" s="1" t="s">
        <v>113</v>
      </c>
      <c r="D21" s="1"/>
      <c r="E21" s="1"/>
      <c r="F21" s="1" t="s">
        <v>116</v>
      </c>
    </row>
    <row r="22" customFormat="false" ht="15" hidden="false" customHeight="false" outlineLevel="0" collapsed="false">
      <c r="A22" s="1" t="s">
        <v>117</v>
      </c>
      <c r="B22" s="20" t="n">
        <v>0.005</v>
      </c>
      <c r="C22" s="1" t="s">
        <v>118</v>
      </c>
      <c r="D22" s="1"/>
      <c r="E22" s="1"/>
      <c r="F22" s="1" t="s">
        <v>119</v>
      </c>
    </row>
    <row r="23" customFormat="false" ht="15" hidden="false" customHeight="false" outlineLevel="0" collapsed="false">
      <c r="A23" s="1" t="s">
        <v>120</v>
      </c>
      <c r="B23" s="26" t="n">
        <v>25</v>
      </c>
      <c r="C23" s="1" t="s">
        <v>113</v>
      </c>
      <c r="D23" s="1"/>
      <c r="E23" s="1"/>
      <c r="F23" s="1" t="s">
        <v>121</v>
      </c>
    </row>
    <row r="24" customFormat="false" ht="15" hidden="false" customHeight="false" outlineLevel="0" collapsed="false">
      <c r="A24" s="1" t="s">
        <v>122</v>
      </c>
      <c r="B24" s="20" t="n">
        <v>0.01</v>
      </c>
      <c r="C24" s="1" t="s">
        <v>105</v>
      </c>
      <c r="D24" s="1"/>
      <c r="E24" s="1"/>
      <c r="F24" s="1" t="s">
        <v>123</v>
      </c>
    </row>
    <row r="25" customFormat="false" ht="15" hidden="false" customHeight="false" outlineLevel="0" collapsed="false">
      <c r="A25" s="1" t="s">
        <v>124</v>
      </c>
      <c r="B25" s="20" t="n">
        <v>0.25</v>
      </c>
      <c r="C25" s="1" t="s">
        <v>125</v>
      </c>
      <c r="D25" s="1"/>
      <c r="E25" s="1"/>
      <c r="F25" s="1" t="s">
        <v>126</v>
      </c>
    </row>
    <row r="26" customFormat="false" ht="15" hidden="false" customHeight="false" outlineLevel="0" collapsed="false">
      <c r="A26" s="1" t="s">
        <v>127</v>
      </c>
      <c r="B26" s="20" t="n">
        <v>0.05</v>
      </c>
      <c r="C26" s="1" t="s">
        <v>128</v>
      </c>
      <c r="D26" s="1"/>
      <c r="E26" s="1"/>
      <c r="F26" s="1" t="s">
        <v>129</v>
      </c>
    </row>
    <row r="27" customFormat="false" ht="15" hidden="false" customHeight="false" outlineLevel="0" collapsed="false">
      <c r="A27" s="1" t="s">
        <v>130</v>
      </c>
      <c r="B27" s="20" t="n">
        <v>0.3</v>
      </c>
      <c r="C27" s="1" t="s">
        <v>105</v>
      </c>
      <c r="D27" s="1"/>
      <c r="E27" s="1"/>
      <c r="F27" s="1"/>
    </row>
    <row r="28" customFormat="false" ht="15" hidden="false" customHeight="false" outlineLevel="0" collapsed="false">
      <c r="A28" s="1" t="s">
        <v>131</v>
      </c>
      <c r="B28" s="20" t="n">
        <v>0.1</v>
      </c>
      <c r="C28" s="1" t="s">
        <v>132</v>
      </c>
      <c r="D28" s="1"/>
      <c r="E28" s="1"/>
      <c r="F28" s="1" t="s">
        <v>133</v>
      </c>
    </row>
    <row r="29" customFormat="false" ht="15" hidden="false" customHeight="false" outlineLevel="0" collapsed="false">
      <c r="A29" s="1" t="s">
        <v>134</v>
      </c>
      <c r="B29" s="18" t="n">
        <v>6</v>
      </c>
      <c r="C29" s="1" t="s">
        <v>135</v>
      </c>
      <c r="D29" s="1"/>
      <c r="E29" s="1"/>
      <c r="F29" s="1" t="s">
        <v>136</v>
      </c>
    </row>
    <row r="30" customFormat="false" ht="15" hidden="false" customHeight="false" outlineLevel="0" collapsed="false">
      <c r="A30" s="1" t="s">
        <v>137</v>
      </c>
      <c r="B30" s="18" t="n">
        <v>7</v>
      </c>
      <c r="C30" s="1" t="s">
        <v>138</v>
      </c>
      <c r="D30" s="1"/>
      <c r="E30" s="1"/>
      <c r="F30" s="1" t="s">
        <v>139</v>
      </c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</row>
    <row r="32" customFormat="false" ht="15" hidden="false" customHeight="false" outlineLevel="0" collapsed="false">
      <c r="A32" s="7" t="s">
        <v>140</v>
      </c>
      <c r="B32" s="7" t="s">
        <v>53</v>
      </c>
      <c r="C32" s="7" t="s">
        <v>102</v>
      </c>
      <c r="D32" s="7"/>
      <c r="E32" s="7"/>
      <c r="F32" s="7" t="s">
        <v>103</v>
      </c>
    </row>
    <row r="33" customFormat="false" ht="15" hidden="false" customHeight="false" outlineLevel="0" collapsed="false">
      <c r="A33" s="1" t="s">
        <v>141</v>
      </c>
      <c r="B33" s="20" t="n">
        <v>0.02</v>
      </c>
      <c r="C33" s="1" t="s">
        <v>142</v>
      </c>
      <c r="D33" s="1"/>
      <c r="E33" s="1"/>
      <c r="F33" s="1" t="s">
        <v>143</v>
      </c>
    </row>
    <row r="34" customFormat="false" ht="15" hidden="false" customHeight="false" outlineLevel="0" collapsed="false">
      <c r="A34" s="1" t="s">
        <v>144</v>
      </c>
      <c r="B34" s="20" t="n">
        <v>0.1</v>
      </c>
      <c r="C34" s="1" t="s">
        <v>145</v>
      </c>
      <c r="D34" s="1"/>
      <c r="E34" s="1"/>
      <c r="F34" s="1"/>
    </row>
    <row r="35" customFormat="false" ht="15" hidden="false" customHeight="false" outlineLevel="0" collapsed="false">
      <c r="A35" s="1" t="s">
        <v>146</v>
      </c>
      <c r="B35" s="26" t="n">
        <v>19</v>
      </c>
      <c r="C35" s="1" t="s">
        <v>147</v>
      </c>
      <c r="D35" s="1"/>
      <c r="E35" s="1"/>
      <c r="F35" s="1" t="s">
        <v>148</v>
      </c>
    </row>
    <row r="36" customFormat="false" ht="15" hidden="false" customHeight="false" outlineLevel="0" collapsed="false">
      <c r="A36" s="1" t="s">
        <v>149</v>
      </c>
      <c r="B36" s="20" t="n">
        <v>0.08</v>
      </c>
      <c r="C36" s="1" t="s">
        <v>150</v>
      </c>
      <c r="D36" s="1"/>
      <c r="E36" s="1"/>
      <c r="F36" s="1"/>
    </row>
    <row r="37" customFormat="false" ht="15" hidden="false" customHeight="false" outlineLevel="0" collapsed="false">
      <c r="A37" s="1" t="s">
        <v>151</v>
      </c>
      <c r="B37" s="26" t="n">
        <v>29</v>
      </c>
      <c r="C37" s="1" t="s">
        <v>152</v>
      </c>
      <c r="D37" s="1"/>
      <c r="E37" s="1"/>
      <c r="F37" s="1"/>
    </row>
    <row r="38" customFormat="false" ht="15" hidden="false" customHeight="false" outlineLevel="0" collapsed="false">
      <c r="A38" s="1" t="s">
        <v>153</v>
      </c>
      <c r="B38" s="18" t="n">
        <v>10</v>
      </c>
      <c r="C38" s="1" t="s">
        <v>154</v>
      </c>
      <c r="D38" s="1"/>
      <c r="E38" s="1"/>
      <c r="F38" s="1"/>
    </row>
    <row r="39" customFormat="false" ht="15" hidden="false" customHeight="false" outlineLevel="0" collapsed="false">
      <c r="A39" s="1" t="s">
        <v>155</v>
      </c>
      <c r="B39" s="26" t="n">
        <v>150</v>
      </c>
      <c r="C39" s="1" t="s">
        <v>147</v>
      </c>
      <c r="D39" s="1"/>
      <c r="E39" s="1"/>
      <c r="F39" s="1" t="s">
        <v>156</v>
      </c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</row>
    <row r="41" customFormat="false" ht="15" hidden="false" customHeight="false" outlineLevel="0" collapsed="false">
      <c r="A41" s="7" t="s">
        <v>62</v>
      </c>
      <c r="B41" s="7" t="s">
        <v>53</v>
      </c>
      <c r="C41" s="7" t="s">
        <v>102</v>
      </c>
      <c r="D41" s="7"/>
      <c r="E41" s="7"/>
      <c r="F41" s="7" t="s">
        <v>103</v>
      </c>
    </row>
    <row r="42" customFormat="false" ht="15" hidden="false" customHeight="false" outlineLevel="0" collapsed="false">
      <c r="A42" s="1" t="s">
        <v>157</v>
      </c>
      <c r="B42" s="24" t="n">
        <v>0.1</v>
      </c>
      <c r="C42" s="1" t="s">
        <v>147</v>
      </c>
      <c r="D42" s="1"/>
      <c r="E42" s="1"/>
      <c r="F42" s="1" t="s">
        <v>158</v>
      </c>
    </row>
    <row r="43" customFormat="false" ht="15" hidden="false" customHeight="false" outlineLevel="0" collapsed="false">
      <c r="A43" s="1" t="s">
        <v>159</v>
      </c>
      <c r="B43" s="24" t="n">
        <v>1.5</v>
      </c>
      <c r="C43" s="1" t="s">
        <v>147</v>
      </c>
      <c r="D43" s="1"/>
      <c r="E43" s="1"/>
      <c r="F43" s="1" t="s">
        <v>160</v>
      </c>
    </row>
    <row r="44" customFormat="false" ht="15" hidden="false" customHeight="false" outlineLevel="0" collapsed="false">
      <c r="A44" s="1" t="s">
        <v>161</v>
      </c>
      <c r="B44" s="24" t="n">
        <v>2</v>
      </c>
      <c r="C44" s="1" t="s">
        <v>147</v>
      </c>
      <c r="D44" s="1"/>
      <c r="E44" s="1"/>
      <c r="F44" s="1" t="s">
        <v>162</v>
      </c>
    </row>
    <row r="45" customFormat="false" ht="15" hidden="false" customHeight="false" outlineLevel="0" collapsed="false">
      <c r="A45" s="1" t="s">
        <v>163</v>
      </c>
      <c r="B45" s="24" t="n">
        <v>2.5</v>
      </c>
      <c r="C45" s="1" t="s">
        <v>113</v>
      </c>
      <c r="D45" s="1"/>
      <c r="E45" s="1"/>
      <c r="F45" s="1" t="s">
        <v>164</v>
      </c>
    </row>
    <row r="46" customFormat="false" ht="15" hidden="false" customHeight="false" outlineLevel="0" collapsed="false">
      <c r="A46" s="1" t="s">
        <v>165</v>
      </c>
      <c r="B46" s="24" t="n">
        <v>0.05</v>
      </c>
      <c r="C46" s="1" t="s">
        <v>147</v>
      </c>
      <c r="D46" s="1"/>
      <c r="E46" s="1"/>
      <c r="F46" s="1" t="s">
        <v>166</v>
      </c>
    </row>
    <row r="47" customFormat="false" ht="15" hidden="false" customHeight="false" outlineLevel="0" collapsed="false">
      <c r="A47" s="1" t="s">
        <v>167</v>
      </c>
      <c r="B47" s="24" t="n">
        <v>1.5</v>
      </c>
      <c r="C47" s="1" t="s">
        <v>113</v>
      </c>
      <c r="D47" s="1"/>
      <c r="E47" s="1"/>
      <c r="F47" s="1" t="s">
        <v>168</v>
      </c>
    </row>
    <row r="48" customFormat="false" ht="15" hidden="false" customHeight="false" outlineLevel="0" collapsed="false">
      <c r="A48" s="1" t="s">
        <v>169</v>
      </c>
      <c r="B48" s="22" t="n">
        <v>2</v>
      </c>
      <c r="C48" s="1" t="s">
        <v>170</v>
      </c>
      <c r="D48" s="1"/>
      <c r="E48" s="1"/>
      <c r="F48" s="1"/>
    </row>
    <row r="49" customFormat="false" ht="15" hidden="false" customHeight="false" outlineLevel="0" collapsed="false">
      <c r="A49" s="1" t="s">
        <v>171</v>
      </c>
      <c r="B49" s="24" t="n">
        <v>0.01</v>
      </c>
      <c r="C49" s="1" t="s">
        <v>147</v>
      </c>
      <c r="D49" s="1"/>
      <c r="E49" s="1"/>
      <c r="F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</row>
    <row r="51" customFormat="false" ht="15" hidden="false" customHeight="false" outlineLevel="0" collapsed="false">
      <c r="A51" s="7" t="s">
        <v>172</v>
      </c>
      <c r="B51" s="7" t="s">
        <v>53</v>
      </c>
      <c r="C51" s="7" t="s">
        <v>102</v>
      </c>
      <c r="D51" s="7"/>
      <c r="E51" s="7"/>
      <c r="F51" s="7" t="s">
        <v>103</v>
      </c>
    </row>
    <row r="52" customFormat="false" ht="15" hidden="false" customHeight="false" outlineLevel="0" collapsed="false">
      <c r="A52" s="1" t="s">
        <v>173</v>
      </c>
      <c r="B52" s="20" t="n">
        <v>0.15</v>
      </c>
      <c r="C52" s="1" t="s">
        <v>174</v>
      </c>
      <c r="D52" s="1"/>
      <c r="E52" s="1"/>
      <c r="F52" s="1"/>
    </row>
    <row r="53" customFormat="false" ht="15" hidden="false" customHeight="false" outlineLevel="0" collapsed="false">
      <c r="A53" s="1" t="s">
        <v>175</v>
      </c>
      <c r="B53" s="20" t="n">
        <v>0.1</v>
      </c>
      <c r="C53" s="1" t="s">
        <v>145</v>
      </c>
      <c r="D53" s="1"/>
      <c r="E53" s="1"/>
      <c r="F53" s="1" t="s">
        <v>176</v>
      </c>
    </row>
    <row r="54" customFormat="false" ht="15" hidden="false" customHeight="false" outlineLevel="0" collapsed="false">
      <c r="A54" s="1" t="s">
        <v>177</v>
      </c>
      <c r="B54" s="20" t="n">
        <v>0.25</v>
      </c>
      <c r="C54" s="1" t="s">
        <v>178</v>
      </c>
      <c r="D54" s="1"/>
      <c r="E54" s="1"/>
      <c r="F54" s="1" t="s">
        <v>179</v>
      </c>
    </row>
    <row r="55" customFormat="false" ht="15" hidden="false" customHeight="false" outlineLevel="0" collapsed="false">
      <c r="A55" s="1" t="s">
        <v>180</v>
      </c>
      <c r="B55" s="26" t="n">
        <v>250000</v>
      </c>
      <c r="C55" s="1" t="s">
        <v>113</v>
      </c>
      <c r="D55" s="1"/>
      <c r="E55" s="1"/>
      <c r="F55" s="1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5" t="s">
        <v>182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5" t="s">
        <v>183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26.85" hidden="false" customHeight="false" outlineLevel="0" collapsed="false">
      <c r="A4" s="7" t="s">
        <v>184</v>
      </c>
      <c r="B4" s="7" t="s">
        <v>185</v>
      </c>
      <c r="C4" s="7" t="s">
        <v>186</v>
      </c>
      <c r="D4" s="7" t="s">
        <v>187</v>
      </c>
      <c r="E4" s="7" t="s">
        <v>188</v>
      </c>
      <c r="F4" s="7" t="s">
        <v>189</v>
      </c>
    </row>
    <row r="5" customFormat="false" ht="15" hidden="false" customHeight="false" outlineLevel="0" collapsed="false">
      <c r="A5" s="1" t="s">
        <v>190</v>
      </c>
      <c r="B5" s="18" t="n">
        <v>1</v>
      </c>
      <c r="C5" s="26" t="n">
        <v>2000</v>
      </c>
      <c r="D5" s="18" t="n">
        <v>1</v>
      </c>
      <c r="E5" s="25" t="n">
        <f aca="false">B5*C5</f>
        <v>2000</v>
      </c>
      <c r="F5" s="1" t="s">
        <v>191</v>
      </c>
    </row>
    <row r="6" customFormat="false" ht="15" hidden="false" customHeight="false" outlineLevel="0" collapsed="false">
      <c r="A6" s="1" t="s">
        <v>192</v>
      </c>
      <c r="B6" s="18" t="n">
        <v>3</v>
      </c>
      <c r="C6" s="26" t="n">
        <v>3000</v>
      </c>
      <c r="D6" s="18" t="n">
        <v>1</v>
      </c>
      <c r="E6" s="25" t="n">
        <f aca="false">B6*C6</f>
        <v>9000</v>
      </c>
      <c r="F6" s="1" t="s">
        <v>193</v>
      </c>
    </row>
    <row r="7" customFormat="false" ht="15" hidden="false" customHeight="false" outlineLevel="0" collapsed="false">
      <c r="A7" s="1" t="s">
        <v>194</v>
      </c>
      <c r="B7" s="18" t="n">
        <v>1</v>
      </c>
      <c r="C7" s="26" t="n">
        <v>3000</v>
      </c>
      <c r="D7" s="18" t="n">
        <v>1</v>
      </c>
      <c r="E7" s="25" t="n">
        <f aca="false">B7*C7</f>
        <v>3000</v>
      </c>
      <c r="F7" s="1" t="s">
        <v>195</v>
      </c>
    </row>
    <row r="8" customFormat="false" ht="15" hidden="false" customHeight="false" outlineLevel="0" collapsed="false">
      <c r="A8" s="1" t="s">
        <v>196</v>
      </c>
      <c r="B8" s="18" t="n">
        <v>1</v>
      </c>
      <c r="C8" s="26" t="n">
        <v>2000</v>
      </c>
      <c r="D8" s="18" t="n">
        <v>1</v>
      </c>
      <c r="E8" s="25" t="n">
        <f aca="false">B8*C8</f>
        <v>2000</v>
      </c>
      <c r="F8" s="1"/>
    </row>
    <row r="9" customFormat="false" ht="15" hidden="false" customHeight="false" outlineLevel="0" collapsed="false">
      <c r="A9" s="1" t="s">
        <v>197</v>
      </c>
      <c r="B9" s="18" t="n">
        <v>1</v>
      </c>
      <c r="C9" s="26" t="n">
        <v>1500</v>
      </c>
      <c r="D9" s="18" t="n">
        <v>4</v>
      </c>
      <c r="E9" s="25" t="n">
        <f aca="false">B9*C9</f>
        <v>1500</v>
      </c>
      <c r="F9" s="1"/>
    </row>
    <row r="10" customFormat="false" ht="15" hidden="false" customHeight="false" outlineLevel="0" collapsed="false">
      <c r="A10" s="1" t="s">
        <v>198</v>
      </c>
      <c r="B10" s="18" t="n">
        <v>1</v>
      </c>
      <c r="C10" s="26" t="n">
        <v>2500</v>
      </c>
      <c r="D10" s="18" t="n">
        <v>1</v>
      </c>
      <c r="E10" s="25" t="n">
        <f aca="false">B10*C10</f>
        <v>2500</v>
      </c>
      <c r="F10" s="1" t="s">
        <v>199</v>
      </c>
    </row>
    <row r="11" customFormat="false" ht="15" hidden="false" customHeight="false" outlineLevel="0" collapsed="false">
      <c r="A11" s="1" t="s">
        <v>200</v>
      </c>
      <c r="B11" s="18" t="n">
        <v>5</v>
      </c>
      <c r="C11" s="26" t="n">
        <v>900</v>
      </c>
      <c r="D11" s="18" t="n">
        <v>1</v>
      </c>
      <c r="E11" s="25" t="n">
        <f aca="false">B11*C11</f>
        <v>4500</v>
      </c>
      <c r="F11" s="1" t="s">
        <v>201</v>
      </c>
    </row>
    <row r="12" customFormat="false" ht="15" hidden="false" customHeight="false" outlineLevel="0" collapsed="false">
      <c r="A12" s="1" t="s">
        <v>202</v>
      </c>
      <c r="B12" s="18" t="n">
        <v>1</v>
      </c>
      <c r="C12" s="26" t="n">
        <v>2500</v>
      </c>
      <c r="D12" s="18" t="n">
        <v>1</v>
      </c>
      <c r="E12" s="25" t="n">
        <f aca="false">B12*C12</f>
        <v>2500</v>
      </c>
      <c r="F12" s="1" t="s">
        <v>203</v>
      </c>
    </row>
    <row r="13" customFormat="false" ht="15" hidden="false" customHeight="false" outlineLevel="0" collapsed="false">
      <c r="A13" s="1" t="s">
        <v>204</v>
      </c>
      <c r="B13" s="18" t="n">
        <v>2</v>
      </c>
      <c r="C13" s="26" t="n">
        <v>800</v>
      </c>
      <c r="D13" s="18" t="n">
        <v>1</v>
      </c>
      <c r="E13" s="25" t="n">
        <f aca="false">B13*C13</f>
        <v>1600</v>
      </c>
      <c r="F13" s="1"/>
    </row>
    <row r="14" customFormat="false" ht="15" hidden="false" customHeight="false" outlineLevel="0" collapsed="false">
      <c r="A14" s="1" t="s">
        <v>205</v>
      </c>
      <c r="B14" s="18" t="n">
        <v>1</v>
      </c>
      <c r="C14" s="26" t="n">
        <v>2000</v>
      </c>
      <c r="D14" s="18" t="n">
        <v>1</v>
      </c>
      <c r="E14" s="25" t="n">
        <f aca="false">B14*C14</f>
        <v>2000</v>
      </c>
      <c r="F14" s="1" t="s">
        <v>206</v>
      </c>
    </row>
    <row r="15" customFormat="false" ht="15" hidden="false" customHeight="false" outlineLevel="0" collapsed="false">
      <c r="A15" s="1" t="s">
        <v>207</v>
      </c>
      <c r="B15" s="18" t="n">
        <v>2</v>
      </c>
      <c r="C15" s="26" t="n">
        <v>3000</v>
      </c>
      <c r="D15" s="18" t="n">
        <v>13</v>
      </c>
      <c r="E15" s="25" t="n">
        <f aca="false">B15*C15</f>
        <v>6000</v>
      </c>
      <c r="F15" s="1"/>
    </row>
    <row r="16" customFormat="false" ht="15" hidden="false" customHeight="false" outlineLevel="0" collapsed="false">
      <c r="A16" s="1" t="s">
        <v>208</v>
      </c>
      <c r="B16" s="18" t="n">
        <v>5</v>
      </c>
      <c r="C16" s="26" t="n">
        <v>900</v>
      </c>
      <c r="D16" s="18" t="n">
        <v>13</v>
      </c>
      <c r="E16" s="25" t="n">
        <f aca="false">B16*C16</f>
        <v>4500</v>
      </c>
      <c r="F16" s="1" t="s">
        <v>209</v>
      </c>
    </row>
    <row r="17" customFormat="false" ht="15" hidden="false" customHeight="false" outlineLevel="0" collapsed="false">
      <c r="A17" s="1" t="s">
        <v>210</v>
      </c>
      <c r="B17" s="18" t="n">
        <v>2</v>
      </c>
      <c r="C17" s="26" t="n">
        <v>800</v>
      </c>
      <c r="D17" s="18" t="n">
        <v>13</v>
      </c>
      <c r="E17" s="25" t="n">
        <f aca="false">B17*C17</f>
        <v>1600</v>
      </c>
      <c r="F17" s="1"/>
    </row>
    <row r="18" customFormat="false" ht="15" hidden="false" customHeight="false" outlineLevel="0" collapsed="false">
      <c r="A18" s="1" t="s">
        <v>211</v>
      </c>
      <c r="B18" s="18" t="n">
        <v>1</v>
      </c>
      <c r="C18" s="26" t="n">
        <v>2500</v>
      </c>
      <c r="D18" s="18" t="n">
        <v>13</v>
      </c>
      <c r="E18" s="25" t="n">
        <f aca="false">B18*C18</f>
        <v>2500</v>
      </c>
      <c r="F18" s="1" t="s">
        <v>212</v>
      </c>
    </row>
    <row r="19" customFormat="false" ht="15" hidden="false" customHeight="false" outlineLevel="0" collapsed="false">
      <c r="A19" s="6" t="s">
        <v>213</v>
      </c>
      <c r="B19" s="17" t="n">
        <f aca="false">SUM(B5:B18)</f>
        <v>27</v>
      </c>
      <c r="C19" s="1"/>
      <c r="D19" s="1"/>
      <c r="E19" s="10" t="n">
        <f aca="false">SUM(E5:E18)</f>
        <v>45200</v>
      </c>
      <c r="F1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5" t="s">
        <v>214</v>
      </c>
      <c r="B1" s="1"/>
      <c r="C1" s="1"/>
      <c r="D1" s="1"/>
    </row>
    <row r="2" customFormat="false" ht="15" hidden="false" customHeight="false" outlineLevel="0" collapsed="false">
      <c r="A2" s="15" t="s">
        <v>215</v>
      </c>
      <c r="B2" s="1"/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4" customFormat="false" ht="15" hidden="false" customHeight="false" outlineLevel="0" collapsed="false">
      <c r="A4" s="7" t="s">
        <v>216</v>
      </c>
      <c r="B4" s="7" t="s">
        <v>217</v>
      </c>
      <c r="C4" s="7" t="s">
        <v>218</v>
      </c>
      <c r="D4" s="7" t="s">
        <v>189</v>
      </c>
    </row>
    <row r="5" customFormat="false" ht="15" hidden="false" customHeight="false" outlineLevel="0" collapsed="false">
      <c r="A5" s="1" t="s">
        <v>219</v>
      </c>
      <c r="B5" s="1" t="s">
        <v>220</v>
      </c>
      <c r="C5" s="26" t="n">
        <v>600</v>
      </c>
      <c r="D5" s="1" t="s">
        <v>221</v>
      </c>
    </row>
    <row r="6" customFormat="false" ht="15" hidden="false" customHeight="false" outlineLevel="0" collapsed="false">
      <c r="A6" s="1" t="s">
        <v>219</v>
      </c>
      <c r="B6" s="1" t="s">
        <v>222</v>
      </c>
      <c r="C6" s="26" t="n">
        <v>300</v>
      </c>
      <c r="D6" s="1"/>
    </row>
    <row r="7" customFormat="false" ht="15" hidden="false" customHeight="false" outlineLevel="0" collapsed="false">
      <c r="A7" s="1" t="s">
        <v>219</v>
      </c>
      <c r="B7" s="1" t="s">
        <v>223</v>
      </c>
      <c r="C7" s="26" t="n">
        <v>100</v>
      </c>
      <c r="D7" s="1"/>
    </row>
    <row r="8" customFormat="false" ht="15" hidden="false" customHeight="false" outlineLevel="0" collapsed="false">
      <c r="A8" s="1" t="s">
        <v>219</v>
      </c>
      <c r="B8" s="1" t="s">
        <v>224</v>
      </c>
      <c r="C8" s="26" t="n">
        <v>200</v>
      </c>
      <c r="D8" s="1" t="s">
        <v>225</v>
      </c>
    </row>
    <row r="9" customFormat="false" ht="15" hidden="false" customHeight="false" outlineLevel="0" collapsed="false">
      <c r="A9" s="1" t="s">
        <v>219</v>
      </c>
      <c r="B9" s="1" t="s">
        <v>226</v>
      </c>
      <c r="C9" s="26" t="n">
        <v>300</v>
      </c>
      <c r="D9" s="1" t="s">
        <v>227</v>
      </c>
    </row>
    <row r="10" customFormat="false" ht="15" hidden="false" customHeight="false" outlineLevel="0" collapsed="false">
      <c r="A10" s="1" t="s">
        <v>219</v>
      </c>
      <c r="B10" s="1" t="s">
        <v>228</v>
      </c>
      <c r="C10" s="26" t="n">
        <v>200</v>
      </c>
      <c r="D10" s="1"/>
    </row>
    <row r="11" customFormat="false" ht="15" hidden="false" customHeight="false" outlineLevel="0" collapsed="false">
      <c r="A11" s="1" t="s">
        <v>229</v>
      </c>
      <c r="B11" s="1" t="s">
        <v>230</v>
      </c>
      <c r="C11" s="26" t="n">
        <v>110</v>
      </c>
      <c r="D11" s="1"/>
    </row>
    <row r="12" customFormat="false" ht="15" hidden="false" customHeight="false" outlineLevel="0" collapsed="false">
      <c r="A12" s="1" t="s">
        <v>229</v>
      </c>
      <c r="B12" s="1" t="s">
        <v>231</v>
      </c>
      <c r="C12" s="26" t="n">
        <v>60</v>
      </c>
      <c r="D12" s="1"/>
    </row>
    <row r="13" customFormat="false" ht="15" hidden="false" customHeight="false" outlineLevel="0" collapsed="false">
      <c r="A13" s="1" t="s">
        <v>229</v>
      </c>
      <c r="B13" s="1" t="s">
        <v>232</v>
      </c>
      <c r="C13" s="26" t="n">
        <v>150</v>
      </c>
      <c r="D13" s="1"/>
    </row>
    <row r="14" customFormat="false" ht="15" hidden="false" customHeight="false" outlineLevel="0" collapsed="false">
      <c r="A14" s="1" t="s">
        <v>229</v>
      </c>
      <c r="B14" s="1" t="s">
        <v>233</v>
      </c>
      <c r="C14" s="26" t="n">
        <v>50</v>
      </c>
      <c r="D14" s="1"/>
    </row>
    <row r="15" customFormat="false" ht="15" hidden="false" customHeight="false" outlineLevel="0" collapsed="false">
      <c r="A15" s="1" t="s">
        <v>229</v>
      </c>
      <c r="B15" s="1" t="s">
        <v>234</v>
      </c>
      <c r="C15" s="26" t="n">
        <v>45</v>
      </c>
      <c r="D15" s="1"/>
    </row>
    <row r="16" customFormat="false" ht="15" hidden="false" customHeight="false" outlineLevel="0" collapsed="false">
      <c r="A16" s="1" t="s">
        <v>229</v>
      </c>
      <c r="B16" s="1" t="s">
        <v>235</v>
      </c>
      <c r="C16" s="26" t="n">
        <v>40</v>
      </c>
      <c r="D16" s="1"/>
    </row>
    <row r="17" customFormat="false" ht="15" hidden="false" customHeight="false" outlineLevel="0" collapsed="false">
      <c r="A17" s="1" t="s">
        <v>229</v>
      </c>
      <c r="B17" s="1" t="s">
        <v>236</v>
      </c>
      <c r="C17" s="26" t="n">
        <v>50</v>
      </c>
      <c r="D17" s="1"/>
    </row>
    <row r="18" customFormat="false" ht="15" hidden="false" customHeight="false" outlineLevel="0" collapsed="false">
      <c r="A18" s="1" t="s">
        <v>237</v>
      </c>
      <c r="B18" s="1" t="s">
        <v>238</v>
      </c>
      <c r="C18" s="26" t="n">
        <v>2000</v>
      </c>
      <c r="D18" s="1" t="s">
        <v>239</v>
      </c>
    </row>
    <row r="19" customFormat="false" ht="15" hidden="false" customHeight="false" outlineLevel="0" collapsed="false">
      <c r="A19" s="1" t="s">
        <v>237</v>
      </c>
      <c r="B19" s="1" t="s">
        <v>240</v>
      </c>
      <c r="C19" s="26" t="n">
        <v>800</v>
      </c>
      <c r="D19" s="1" t="s">
        <v>241</v>
      </c>
    </row>
    <row r="20" customFormat="false" ht="15" hidden="false" customHeight="false" outlineLevel="0" collapsed="false">
      <c r="A20" s="1" t="s">
        <v>237</v>
      </c>
      <c r="B20" s="1" t="s">
        <v>242</v>
      </c>
      <c r="C20" s="26" t="n">
        <v>300</v>
      </c>
      <c r="D20" s="1"/>
    </row>
    <row r="21" customFormat="false" ht="15" hidden="false" customHeight="false" outlineLevel="0" collapsed="false">
      <c r="A21" s="1" t="s">
        <v>237</v>
      </c>
      <c r="B21" s="1" t="s">
        <v>243</v>
      </c>
      <c r="C21" s="26" t="n">
        <v>500</v>
      </c>
      <c r="D21" s="1"/>
    </row>
    <row r="22" customFormat="false" ht="15" hidden="false" customHeight="false" outlineLevel="0" collapsed="false">
      <c r="A22" s="1" t="s">
        <v>237</v>
      </c>
      <c r="B22" s="1" t="s">
        <v>244</v>
      </c>
      <c r="C22" s="26" t="n">
        <v>170</v>
      </c>
      <c r="D22" s="1" t="s">
        <v>245</v>
      </c>
    </row>
    <row r="23" customFormat="false" ht="15" hidden="false" customHeight="false" outlineLevel="0" collapsed="false">
      <c r="A23" s="1" t="s">
        <v>237</v>
      </c>
      <c r="B23" s="1" t="s">
        <v>246</v>
      </c>
      <c r="C23" s="26" t="n">
        <v>1250</v>
      </c>
      <c r="D23" s="1"/>
    </row>
    <row r="24" customFormat="false" ht="15" hidden="false" customHeight="false" outlineLevel="0" collapsed="false">
      <c r="A24" s="1" t="s">
        <v>237</v>
      </c>
      <c r="B24" s="1" t="s">
        <v>247</v>
      </c>
      <c r="C24" s="26" t="n">
        <v>700</v>
      </c>
      <c r="D24" s="1" t="s">
        <v>248</v>
      </c>
    </row>
    <row r="25" customFormat="false" ht="15" hidden="false" customHeight="false" outlineLevel="0" collapsed="false">
      <c r="A25" s="1" t="s">
        <v>237</v>
      </c>
      <c r="B25" s="1" t="s">
        <v>249</v>
      </c>
      <c r="C25" s="26" t="n">
        <v>150</v>
      </c>
      <c r="D25" s="1"/>
    </row>
    <row r="26" customFormat="false" ht="15" hidden="false" customHeight="false" outlineLevel="0" collapsed="false">
      <c r="A26" s="1" t="s">
        <v>237</v>
      </c>
      <c r="B26" s="1" t="s">
        <v>250</v>
      </c>
      <c r="C26" s="26" t="n">
        <v>500</v>
      </c>
      <c r="D26" s="1" t="s">
        <v>251</v>
      </c>
    </row>
    <row r="27" customFormat="false" ht="15" hidden="false" customHeight="false" outlineLevel="0" collapsed="false">
      <c r="A27" s="1" t="s">
        <v>237</v>
      </c>
      <c r="B27" s="1" t="s">
        <v>252</v>
      </c>
      <c r="C27" s="26" t="n">
        <v>300</v>
      </c>
      <c r="D27" s="1"/>
    </row>
    <row r="28" customFormat="false" ht="15" hidden="false" customHeight="false" outlineLevel="0" collapsed="false">
      <c r="A28" s="1" t="s">
        <v>237</v>
      </c>
      <c r="B28" s="1" t="s">
        <v>253</v>
      </c>
      <c r="C28" s="26" t="n">
        <v>100</v>
      </c>
      <c r="D28" s="1"/>
    </row>
    <row r="29" customFormat="false" ht="15" hidden="false" customHeight="false" outlineLevel="0" collapsed="false">
      <c r="A29" s="1" t="s">
        <v>254</v>
      </c>
      <c r="B29" s="1" t="s">
        <v>255</v>
      </c>
      <c r="C29" s="26" t="n">
        <v>500</v>
      </c>
      <c r="D29" s="1"/>
    </row>
    <row r="30" customFormat="false" ht="15" hidden="false" customHeight="false" outlineLevel="0" collapsed="false">
      <c r="A30" s="1" t="s">
        <v>254</v>
      </c>
      <c r="B30" s="1" t="s">
        <v>256</v>
      </c>
      <c r="C30" s="26" t="n">
        <v>30</v>
      </c>
      <c r="D30" s="1"/>
    </row>
    <row r="31" customFormat="false" ht="15" hidden="false" customHeight="false" outlineLevel="0" collapsed="false">
      <c r="A31" s="1" t="s">
        <v>257</v>
      </c>
      <c r="B31" s="1" t="s">
        <v>258</v>
      </c>
      <c r="C31" s="26" t="n">
        <v>2000</v>
      </c>
      <c r="D31" s="1" t="s">
        <v>259</v>
      </c>
    </row>
    <row r="32" customFormat="false" ht="15" hidden="false" customHeight="false" outlineLevel="0" collapsed="false">
      <c r="A32" s="1" t="s">
        <v>257</v>
      </c>
      <c r="B32" s="1" t="s">
        <v>260</v>
      </c>
      <c r="C32" s="26" t="n">
        <v>300</v>
      </c>
      <c r="D32" s="1"/>
    </row>
    <row r="33" customFormat="false" ht="15" hidden="false" customHeight="false" outlineLevel="0" collapsed="false">
      <c r="A33" s="1" t="s">
        <v>257</v>
      </c>
      <c r="B33" s="1" t="s">
        <v>261</v>
      </c>
      <c r="C33" s="26" t="n">
        <v>500</v>
      </c>
      <c r="D33" s="1"/>
    </row>
    <row r="34" customFormat="false" ht="15" hidden="false" customHeight="false" outlineLevel="0" collapsed="false">
      <c r="A34" s="1"/>
      <c r="B34" s="6" t="s">
        <v>262</v>
      </c>
      <c r="C34" s="10" t="n">
        <f aca="false">SUM(C5:C33)</f>
        <v>12305</v>
      </c>
      <c r="D34" s="1"/>
    </row>
    <row r="35" customFormat="false" ht="15" hidden="false" customHeight="false" outlineLevel="0" collapsed="false">
      <c r="A35" s="1"/>
      <c r="B35" s="1"/>
      <c r="C35" s="1"/>
      <c r="D35" s="1"/>
    </row>
    <row r="36" customFormat="false" ht="15" hidden="false" customHeight="false" outlineLevel="0" collapsed="false">
      <c r="A36" s="1"/>
      <c r="B36" s="6" t="s">
        <v>263</v>
      </c>
      <c r="C36" s="1"/>
      <c r="D36" s="1"/>
    </row>
    <row r="37" customFormat="false" ht="15" hidden="false" customHeight="false" outlineLevel="0" collapsed="false">
      <c r="A37" s="1"/>
      <c r="B37" s="1" t="s">
        <v>219</v>
      </c>
      <c r="C37" s="25" t="n">
        <f aca="false">SUMIF($A$5:$A$33,B37,$C$5:$C$33)</f>
        <v>1700</v>
      </c>
      <c r="D37" s="1"/>
    </row>
    <row r="38" customFormat="false" ht="15" hidden="false" customHeight="false" outlineLevel="0" collapsed="false">
      <c r="A38" s="1"/>
      <c r="B38" s="1" t="s">
        <v>229</v>
      </c>
      <c r="C38" s="25" t="n">
        <f aca="false">SUMIF($A$5:$A$33,B38,$C$5:$C$33)</f>
        <v>505</v>
      </c>
      <c r="D38" s="1"/>
    </row>
    <row r="39" customFormat="false" ht="15" hidden="false" customHeight="false" outlineLevel="0" collapsed="false">
      <c r="A39" s="1"/>
      <c r="B39" s="1" t="s">
        <v>237</v>
      </c>
      <c r="C39" s="25" t="n">
        <f aca="false">SUMIF($A$5:$A$33,B39,$C$5:$C$33)</f>
        <v>6770</v>
      </c>
      <c r="D39" s="1"/>
    </row>
    <row r="40" customFormat="false" ht="15" hidden="false" customHeight="false" outlineLevel="0" collapsed="false">
      <c r="A40" s="1"/>
      <c r="B40" s="1" t="s">
        <v>254</v>
      </c>
      <c r="C40" s="25" t="n">
        <f aca="false">SUMIF($A$5:$A$33,B40,$C$5:$C$33)</f>
        <v>530</v>
      </c>
      <c r="D40" s="1"/>
    </row>
    <row r="41" customFormat="false" ht="15" hidden="false" customHeight="false" outlineLevel="0" collapsed="false">
      <c r="A41" s="1"/>
      <c r="B41" s="1" t="s">
        <v>257</v>
      </c>
      <c r="C41" s="25" t="n">
        <f aca="false">SUMIF($A$5:$A$33,B41,$C$5:$C$33)</f>
        <v>2800</v>
      </c>
      <c r="D4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5" t="s">
        <v>264</v>
      </c>
      <c r="B1" s="1"/>
      <c r="C1" s="1"/>
    </row>
    <row r="2" customFormat="false" ht="15" hidden="false" customHeight="false" outlineLevel="0" collapsed="false">
      <c r="A2" s="1"/>
      <c r="B2" s="1"/>
      <c r="C2" s="1"/>
    </row>
    <row r="3" customFormat="false" ht="15" hidden="false" customHeight="false" outlineLevel="0" collapsed="false">
      <c r="A3" s="7" t="s">
        <v>217</v>
      </c>
      <c r="B3" s="7" t="s">
        <v>265</v>
      </c>
      <c r="C3" s="7" t="s">
        <v>189</v>
      </c>
    </row>
    <row r="4" customFormat="false" ht="15" hidden="false" customHeight="false" outlineLevel="0" collapsed="false">
      <c r="A4" s="1" t="s">
        <v>266</v>
      </c>
      <c r="B4" s="26" t="n">
        <v>1500</v>
      </c>
      <c r="C4" s="1" t="s">
        <v>267</v>
      </c>
    </row>
    <row r="5" customFormat="false" ht="15" hidden="false" customHeight="false" outlineLevel="0" collapsed="false">
      <c r="A5" s="1" t="s">
        <v>268</v>
      </c>
      <c r="B5" s="26" t="n">
        <v>15000</v>
      </c>
      <c r="C5" s="1"/>
    </row>
    <row r="6" customFormat="false" ht="15" hidden="false" customHeight="false" outlineLevel="0" collapsed="false">
      <c r="A6" s="1" t="s">
        <v>269</v>
      </c>
      <c r="B6" s="26" t="n">
        <v>5000</v>
      </c>
      <c r="C6" s="1"/>
    </row>
    <row r="7" customFormat="false" ht="15" hidden="false" customHeight="false" outlineLevel="0" collapsed="false">
      <c r="A7" s="1" t="s">
        <v>270</v>
      </c>
      <c r="B7" s="26" t="n">
        <v>3000</v>
      </c>
      <c r="C7" s="1" t="s">
        <v>271</v>
      </c>
    </row>
    <row r="8" customFormat="false" ht="15" hidden="false" customHeight="false" outlineLevel="0" collapsed="false">
      <c r="A8" s="1" t="s">
        <v>272</v>
      </c>
      <c r="B8" s="26" t="n">
        <v>3000</v>
      </c>
      <c r="C8" s="1"/>
    </row>
    <row r="9" customFormat="false" ht="15" hidden="false" customHeight="false" outlineLevel="0" collapsed="false">
      <c r="A9" s="1" t="s">
        <v>273</v>
      </c>
      <c r="B9" s="26" t="n">
        <v>15000</v>
      </c>
      <c r="C9" s="1" t="s">
        <v>274</v>
      </c>
    </row>
    <row r="10" customFormat="false" ht="15" hidden="false" customHeight="false" outlineLevel="0" collapsed="false">
      <c r="A10" s="1" t="s">
        <v>275</v>
      </c>
      <c r="B10" s="26" t="n">
        <v>12000</v>
      </c>
      <c r="C10" s="1"/>
    </row>
    <row r="11" customFormat="false" ht="15" hidden="false" customHeight="false" outlineLevel="0" collapsed="false">
      <c r="A11" s="1" t="s">
        <v>276</v>
      </c>
      <c r="B11" s="26" t="n">
        <v>2500</v>
      </c>
      <c r="C11" s="1" t="s">
        <v>277</v>
      </c>
    </row>
    <row r="12" customFormat="false" ht="15" hidden="false" customHeight="false" outlineLevel="0" collapsed="false">
      <c r="A12" s="1" t="s">
        <v>278</v>
      </c>
      <c r="B12" s="26" t="n">
        <v>6</v>
      </c>
      <c r="C12" s="1"/>
    </row>
    <row r="13" customFormat="false" ht="15" hidden="false" customHeight="false" outlineLevel="0" collapsed="false">
      <c r="A13" s="1" t="s">
        <v>279</v>
      </c>
      <c r="B13" s="26" t="n">
        <v>200</v>
      </c>
      <c r="C13" s="1"/>
    </row>
    <row r="14" customFormat="false" ht="15" hidden="false" customHeight="false" outlineLevel="0" collapsed="false">
      <c r="A14" s="1" t="s">
        <v>280</v>
      </c>
      <c r="B14" s="26" t="n">
        <v>4000</v>
      </c>
      <c r="C14" s="1"/>
    </row>
    <row r="15" customFormat="false" ht="15" hidden="false" customHeight="false" outlineLevel="0" collapsed="false">
      <c r="A15" s="1" t="s">
        <v>281</v>
      </c>
      <c r="B15" s="26" t="n">
        <v>15000</v>
      </c>
      <c r="C15" s="1" t="s">
        <v>282</v>
      </c>
    </row>
    <row r="16" customFormat="false" ht="15" hidden="false" customHeight="false" outlineLevel="0" collapsed="false">
      <c r="A16" s="1" t="s">
        <v>283</v>
      </c>
      <c r="B16" s="26" t="n">
        <v>5000</v>
      </c>
      <c r="C16" s="1"/>
    </row>
    <row r="17" customFormat="false" ht="15" hidden="false" customHeight="false" outlineLevel="0" collapsed="false">
      <c r="A17" s="6" t="s">
        <v>284</v>
      </c>
      <c r="B17" s="10" t="n">
        <f aca="false">SUM(B4:B16)</f>
        <v>81206</v>
      </c>
      <c r="C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38" min="3" style="0" width="12"/>
  </cols>
  <sheetData>
    <row r="1" customFormat="false" ht="19.7" hidden="false" customHeight="false" outlineLevel="0" collapsed="false">
      <c r="A1" s="5" t="s">
        <v>285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5" hidden="false" customHeight="false" outlineLevel="0" collapsed="false">
      <c r="A2" s="6" t="str">
        <f aca="false">"Scenario: "&amp;Assumptions!$C$4</f>
        <v>Scenario: Base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5" hidden="false" customHeight="false" outlineLevel="0" collapsed="false">
      <c r="A3" s="27" t="s">
        <v>286</v>
      </c>
      <c r="B3" s="28"/>
      <c r="C3" s="29" t="s">
        <v>287</v>
      </c>
      <c r="D3" s="29" t="s">
        <v>288</v>
      </c>
      <c r="E3" s="29" t="s">
        <v>289</v>
      </c>
      <c r="F3" s="29" t="s">
        <v>290</v>
      </c>
      <c r="G3" s="29" t="s">
        <v>291</v>
      </c>
      <c r="H3" s="29" t="s">
        <v>292</v>
      </c>
      <c r="I3" s="29" t="s">
        <v>293</v>
      </c>
      <c r="J3" s="29" t="s">
        <v>294</v>
      </c>
      <c r="K3" s="29" t="s">
        <v>295</v>
      </c>
      <c r="L3" s="29" t="s">
        <v>296</v>
      </c>
      <c r="M3" s="29" t="s">
        <v>297</v>
      </c>
      <c r="N3" s="29" t="s">
        <v>298</v>
      </c>
      <c r="O3" s="29" t="s">
        <v>299</v>
      </c>
      <c r="P3" s="29" t="s">
        <v>300</v>
      </c>
      <c r="Q3" s="29" t="s">
        <v>301</v>
      </c>
      <c r="R3" s="29" t="s">
        <v>302</v>
      </c>
      <c r="S3" s="29" t="s">
        <v>303</v>
      </c>
      <c r="T3" s="29" t="s">
        <v>304</v>
      </c>
      <c r="U3" s="29" t="s">
        <v>305</v>
      </c>
      <c r="V3" s="29" t="s">
        <v>306</v>
      </c>
      <c r="W3" s="29" t="s">
        <v>307</v>
      </c>
      <c r="X3" s="29" t="s">
        <v>308</v>
      </c>
      <c r="Y3" s="29" t="s">
        <v>309</v>
      </c>
      <c r="Z3" s="29" t="s">
        <v>310</v>
      </c>
      <c r="AA3" s="29" t="s">
        <v>311</v>
      </c>
      <c r="AB3" s="29" t="s">
        <v>312</v>
      </c>
      <c r="AC3" s="29" t="s">
        <v>313</v>
      </c>
      <c r="AD3" s="29" t="s">
        <v>314</v>
      </c>
      <c r="AE3" s="29" t="s">
        <v>315</v>
      </c>
      <c r="AF3" s="29" t="s">
        <v>316</v>
      </c>
      <c r="AG3" s="29" t="s">
        <v>317</v>
      </c>
      <c r="AH3" s="29" t="s">
        <v>318</v>
      </c>
      <c r="AI3" s="29" t="s">
        <v>319</v>
      </c>
      <c r="AJ3" s="29" t="s">
        <v>320</v>
      </c>
      <c r="AK3" s="29" t="s">
        <v>321</v>
      </c>
      <c r="AL3" s="29" t="s">
        <v>322</v>
      </c>
    </row>
    <row r="4" customFormat="false" ht="15" hidden="false" customHeight="false" outlineLevel="0" collapsed="false">
      <c r="A4" s="8" t="s">
        <v>323</v>
      </c>
      <c r="B4" s="1"/>
      <c r="C4" s="30" t="n">
        <v>1</v>
      </c>
      <c r="D4" s="30" t="n">
        <f aca="false">C4+1</f>
        <v>2</v>
      </c>
      <c r="E4" s="30" t="n">
        <f aca="false">D4+1</f>
        <v>3</v>
      </c>
      <c r="F4" s="30" t="n">
        <f aca="false">E4+1</f>
        <v>4</v>
      </c>
      <c r="G4" s="30" t="n">
        <f aca="false">F4+1</f>
        <v>5</v>
      </c>
      <c r="H4" s="30" t="n">
        <f aca="false">G4+1</f>
        <v>6</v>
      </c>
      <c r="I4" s="30" t="n">
        <f aca="false">H4+1</f>
        <v>7</v>
      </c>
      <c r="J4" s="30" t="n">
        <f aca="false">I4+1</f>
        <v>8</v>
      </c>
      <c r="K4" s="30" t="n">
        <f aca="false">J4+1</f>
        <v>9</v>
      </c>
      <c r="L4" s="30" t="n">
        <f aca="false">K4+1</f>
        <v>10</v>
      </c>
      <c r="M4" s="30" t="n">
        <f aca="false">L4+1</f>
        <v>11</v>
      </c>
      <c r="N4" s="30" t="n">
        <f aca="false">M4+1</f>
        <v>12</v>
      </c>
      <c r="O4" s="30" t="n">
        <f aca="false">N4+1</f>
        <v>13</v>
      </c>
      <c r="P4" s="30" t="n">
        <f aca="false">O4+1</f>
        <v>14</v>
      </c>
      <c r="Q4" s="30" t="n">
        <f aca="false">P4+1</f>
        <v>15</v>
      </c>
      <c r="R4" s="30" t="n">
        <f aca="false">Q4+1</f>
        <v>16</v>
      </c>
      <c r="S4" s="30" t="n">
        <f aca="false">R4+1</f>
        <v>17</v>
      </c>
      <c r="T4" s="30" t="n">
        <f aca="false">S4+1</f>
        <v>18</v>
      </c>
      <c r="U4" s="30" t="n">
        <f aca="false">T4+1</f>
        <v>19</v>
      </c>
      <c r="V4" s="30" t="n">
        <f aca="false">U4+1</f>
        <v>20</v>
      </c>
      <c r="W4" s="30" t="n">
        <f aca="false">V4+1</f>
        <v>21</v>
      </c>
      <c r="X4" s="30" t="n">
        <f aca="false">W4+1</f>
        <v>22</v>
      </c>
      <c r="Y4" s="30" t="n">
        <f aca="false">X4+1</f>
        <v>23</v>
      </c>
      <c r="Z4" s="30" t="n">
        <f aca="false">Y4+1</f>
        <v>24</v>
      </c>
      <c r="AA4" s="30" t="n">
        <f aca="false">Z4+1</f>
        <v>25</v>
      </c>
      <c r="AB4" s="30" t="n">
        <f aca="false">AA4+1</f>
        <v>26</v>
      </c>
      <c r="AC4" s="30" t="n">
        <f aca="false">AB4+1</f>
        <v>27</v>
      </c>
      <c r="AD4" s="30" t="n">
        <f aca="false">AC4+1</f>
        <v>28</v>
      </c>
      <c r="AE4" s="30" t="n">
        <f aca="false">AD4+1</f>
        <v>29</v>
      </c>
      <c r="AF4" s="30" t="n">
        <f aca="false">AE4+1</f>
        <v>30</v>
      </c>
      <c r="AG4" s="30" t="n">
        <f aca="false">AF4+1</f>
        <v>31</v>
      </c>
      <c r="AH4" s="30" t="n">
        <f aca="false">AG4+1</f>
        <v>32</v>
      </c>
      <c r="AI4" s="30" t="n">
        <f aca="false">AH4+1</f>
        <v>33</v>
      </c>
      <c r="AJ4" s="30" t="n">
        <f aca="false">AI4+1</f>
        <v>34</v>
      </c>
      <c r="AK4" s="30" t="n">
        <f aca="false">AJ4+1</f>
        <v>35</v>
      </c>
      <c r="AL4" s="30" t="n">
        <f aca="false">AK4+1</f>
        <v>36</v>
      </c>
    </row>
    <row r="5" customFormat="false" ht="15" hidden="false" customHeight="false" outlineLevel="0" collapsed="false">
      <c r="A5" s="8" t="s">
        <v>324</v>
      </c>
      <c r="B5" s="1"/>
      <c r="C5" s="8" t="str">
        <f aca="false">"Y"&amp;ROUNDUP(C4/12,0)</f>
        <v>Y1</v>
      </c>
      <c r="D5" s="8" t="str">
        <f aca="false">"Y"&amp;ROUNDUP(D4/12,0)</f>
        <v>Y1</v>
      </c>
      <c r="E5" s="8" t="str">
        <f aca="false">"Y"&amp;ROUNDUP(E4/12,0)</f>
        <v>Y1</v>
      </c>
      <c r="F5" s="8" t="str">
        <f aca="false">"Y"&amp;ROUNDUP(F4/12,0)</f>
        <v>Y1</v>
      </c>
      <c r="G5" s="8" t="str">
        <f aca="false">"Y"&amp;ROUNDUP(G4/12,0)</f>
        <v>Y1</v>
      </c>
      <c r="H5" s="8" t="str">
        <f aca="false">"Y"&amp;ROUNDUP(H4/12,0)</f>
        <v>Y1</v>
      </c>
      <c r="I5" s="8" t="str">
        <f aca="false">"Y"&amp;ROUNDUP(I4/12,0)</f>
        <v>Y1</v>
      </c>
      <c r="J5" s="8" t="str">
        <f aca="false">"Y"&amp;ROUNDUP(J4/12,0)</f>
        <v>Y1</v>
      </c>
      <c r="K5" s="8" t="str">
        <f aca="false">"Y"&amp;ROUNDUP(K4/12,0)</f>
        <v>Y1</v>
      </c>
      <c r="L5" s="8" t="str">
        <f aca="false">"Y"&amp;ROUNDUP(L4/12,0)</f>
        <v>Y1</v>
      </c>
      <c r="M5" s="8" t="str">
        <f aca="false">"Y"&amp;ROUNDUP(M4/12,0)</f>
        <v>Y1</v>
      </c>
      <c r="N5" s="8" t="str">
        <f aca="false">"Y"&amp;ROUNDUP(N4/12,0)</f>
        <v>Y1</v>
      </c>
      <c r="O5" s="8" t="str">
        <f aca="false">"Y"&amp;ROUNDUP(O4/12,0)</f>
        <v>Y2</v>
      </c>
      <c r="P5" s="8" t="str">
        <f aca="false">"Y"&amp;ROUNDUP(P4/12,0)</f>
        <v>Y2</v>
      </c>
      <c r="Q5" s="8" t="str">
        <f aca="false">"Y"&amp;ROUNDUP(Q4/12,0)</f>
        <v>Y2</v>
      </c>
      <c r="R5" s="8" t="str">
        <f aca="false">"Y"&amp;ROUNDUP(R4/12,0)</f>
        <v>Y2</v>
      </c>
      <c r="S5" s="8" t="str">
        <f aca="false">"Y"&amp;ROUNDUP(S4/12,0)</f>
        <v>Y2</v>
      </c>
      <c r="T5" s="8" t="str">
        <f aca="false">"Y"&amp;ROUNDUP(T4/12,0)</f>
        <v>Y2</v>
      </c>
      <c r="U5" s="8" t="str">
        <f aca="false">"Y"&amp;ROUNDUP(U4/12,0)</f>
        <v>Y2</v>
      </c>
      <c r="V5" s="8" t="str">
        <f aca="false">"Y"&amp;ROUNDUP(V4/12,0)</f>
        <v>Y2</v>
      </c>
      <c r="W5" s="8" t="str">
        <f aca="false">"Y"&amp;ROUNDUP(W4/12,0)</f>
        <v>Y2</v>
      </c>
      <c r="X5" s="8" t="str">
        <f aca="false">"Y"&amp;ROUNDUP(X4/12,0)</f>
        <v>Y2</v>
      </c>
      <c r="Y5" s="8" t="str">
        <f aca="false">"Y"&amp;ROUNDUP(Y4/12,0)</f>
        <v>Y2</v>
      </c>
      <c r="Z5" s="8" t="str">
        <f aca="false">"Y"&amp;ROUNDUP(Z4/12,0)</f>
        <v>Y2</v>
      </c>
      <c r="AA5" s="8" t="str">
        <f aca="false">"Y"&amp;ROUNDUP(AA4/12,0)</f>
        <v>Y3</v>
      </c>
      <c r="AB5" s="8" t="str">
        <f aca="false">"Y"&amp;ROUNDUP(AB4/12,0)</f>
        <v>Y3</v>
      </c>
      <c r="AC5" s="8" t="str">
        <f aca="false">"Y"&amp;ROUNDUP(AC4/12,0)</f>
        <v>Y3</v>
      </c>
      <c r="AD5" s="8" t="str">
        <f aca="false">"Y"&amp;ROUNDUP(AD4/12,0)</f>
        <v>Y3</v>
      </c>
      <c r="AE5" s="8" t="str">
        <f aca="false">"Y"&amp;ROUNDUP(AE4/12,0)</f>
        <v>Y3</v>
      </c>
      <c r="AF5" s="8" t="str">
        <f aca="false">"Y"&amp;ROUNDUP(AF4/12,0)</f>
        <v>Y3</v>
      </c>
      <c r="AG5" s="8" t="str">
        <f aca="false">"Y"&amp;ROUNDUP(AG4/12,0)</f>
        <v>Y3</v>
      </c>
      <c r="AH5" s="8" t="str">
        <f aca="false">"Y"&amp;ROUNDUP(AH4/12,0)</f>
        <v>Y3</v>
      </c>
      <c r="AI5" s="8" t="str">
        <f aca="false">"Y"&amp;ROUNDUP(AI4/12,0)</f>
        <v>Y3</v>
      </c>
      <c r="AJ5" s="8" t="str">
        <f aca="false">"Y"&amp;ROUNDUP(AJ4/12,0)</f>
        <v>Y3</v>
      </c>
      <c r="AK5" s="8" t="str">
        <f aca="false">"Y"&amp;ROUNDUP(AK4/12,0)</f>
        <v>Y3</v>
      </c>
      <c r="AL5" s="8" t="str">
        <f aca="false">"Y"&amp;ROUNDUP(AL4/12,0)</f>
        <v>Y3</v>
      </c>
    </row>
    <row r="6" customFormat="false" ht="15" hidden="false" customHeight="false" outlineLevel="0" collapsed="false">
      <c r="A6" s="31" t="s">
        <v>325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customFormat="false" ht="15" hidden="false" customHeight="false" outlineLevel="0" collapsed="false">
      <c r="A7" s="8" t="s">
        <v>326</v>
      </c>
      <c r="B7" s="1"/>
      <c r="C7" s="30" t="n">
        <f aca="false">IF(C4&lt;=12,Assumptions!$B$7*(1+Assumptions!$B$8)^(C4-1),Assumptions!$B$7*(1+Assumptions!$B$8)^11*(1+Assumptions!$B$9)^(C4-12))</f>
        <v>40</v>
      </c>
      <c r="D7" s="30" t="n">
        <f aca="false">IF(D4&lt;=12,Assumptions!$B$7*(1+Assumptions!$B$8)^(D4-1),Assumptions!$B$7*(1+Assumptions!$B$8)^11*(1+Assumptions!$B$9)^(D4-12))</f>
        <v>44.8</v>
      </c>
      <c r="E7" s="30" t="n">
        <f aca="false">IF(E4&lt;=12,Assumptions!$B$7*(1+Assumptions!$B$8)^(E4-1),Assumptions!$B$7*(1+Assumptions!$B$8)^11*(1+Assumptions!$B$9)^(E4-12))</f>
        <v>50.176</v>
      </c>
      <c r="F7" s="30" t="n">
        <f aca="false">IF(F4&lt;=12,Assumptions!$B$7*(1+Assumptions!$B$8)^(F4-1),Assumptions!$B$7*(1+Assumptions!$B$8)^11*(1+Assumptions!$B$9)^(F4-12))</f>
        <v>56.19712</v>
      </c>
      <c r="G7" s="30" t="n">
        <f aca="false">IF(G4&lt;=12,Assumptions!$B$7*(1+Assumptions!$B$8)^(G4-1),Assumptions!$B$7*(1+Assumptions!$B$8)^11*(1+Assumptions!$B$9)^(G4-12))</f>
        <v>62.9407744</v>
      </c>
      <c r="H7" s="30" t="n">
        <f aca="false">IF(H4&lt;=12,Assumptions!$B$7*(1+Assumptions!$B$8)^(H4-1),Assumptions!$B$7*(1+Assumptions!$B$8)^11*(1+Assumptions!$B$9)^(H4-12))</f>
        <v>70.493667328</v>
      </c>
      <c r="I7" s="30" t="n">
        <f aca="false">IF(I4&lt;=12,Assumptions!$B$7*(1+Assumptions!$B$8)^(I4-1),Assumptions!$B$7*(1+Assumptions!$B$8)^11*(1+Assumptions!$B$9)^(I4-12))</f>
        <v>78.95290740736</v>
      </c>
      <c r="J7" s="30" t="n">
        <f aca="false">IF(J4&lt;=12,Assumptions!$B$7*(1+Assumptions!$B$8)^(J4-1),Assumptions!$B$7*(1+Assumptions!$B$8)^11*(1+Assumptions!$B$9)^(J4-12))</f>
        <v>88.4272562962433</v>
      </c>
      <c r="K7" s="30" t="n">
        <f aca="false">IF(K4&lt;=12,Assumptions!$B$7*(1+Assumptions!$B$8)^(K4-1),Assumptions!$B$7*(1+Assumptions!$B$8)^11*(1+Assumptions!$B$9)^(K4-12))</f>
        <v>99.0385270517925</v>
      </c>
      <c r="L7" s="30" t="n">
        <f aca="false">IF(L4&lt;=12,Assumptions!$B$7*(1+Assumptions!$B$8)^(L4-1),Assumptions!$B$7*(1+Assumptions!$B$8)^11*(1+Assumptions!$B$9)^(L4-12))</f>
        <v>110.923150298008</v>
      </c>
      <c r="M7" s="30" t="n">
        <f aca="false">IF(M4&lt;=12,Assumptions!$B$7*(1+Assumptions!$B$8)^(M4-1),Assumptions!$B$7*(1+Assumptions!$B$8)^11*(1+Assumptions!$B$9)^(M4-12))</f>
        <v>124.233928333768</v>
      </c>
      <c r="N7" s="30" t="n">
        <f aca="false">IF(N4&lt;=12,Assumptions!$B$7*(1+Assumptions!$B$8)^(N4-1),Assumptions!$B$7*(1+Assumptions!$B$8)^11*(1+Assumptions!$B$9)^(N4-12))</f>
        <v>139.141999733821</v>
      </c>
      <c r="O7" s="30" t="n">
        <f aca="false">IF(O4&lt;=12,Assumptions!$B$7*(1+Assumptions!$B$8)^(O4-1),Assumptions!$B$7*(1+Assumptions!$B$8)^11*(1+Assumptions!$B$9)^(O4-12))</f>
        <v>144.707679723174</v>
      </c>
      <c r="P7" s="30" t="n">
        <f aca="false">IF(P4&lt;=12,Assumptions!$B$7*(1+Assumptions!$B$8)^(P4-1),Assumptions!$B$7*(1+Assumptions!$B$8)^11*(1+Assumptions!$B$9)^(P4-12))</f>
        <v>150.495986912101</v>
      </c>
      <c r="Q7" s="30" t="n">
        <f aca="false">IF(Q4&lt;=12,Assumptions!$B$7*(1+Assumptions!$B$8)^(Q4-1),Assumptions!$B$7*(1+Assumptions!$B$8)^11*(1+Assumptions!$B$9)^(Q4-12))</f>
        <v>156.515826388585</v>
      </c>
      <c r="R7" s="30" t="n">
        <f aca="false">IF(R4&lt;=12,Assumptions!$B$7*(1+Assumptions!$B$8)^(R4-1),Assumptions!$B$7*(1+Assumptions!$B$8)^11*(1+Assumptions!$B$9)^(R4-12))</f>
        <v>162.776459444128</v>
      </c>
      <c r="S7" s="30" t="n">
        <f aca="false">IF(S4&lt;=12,Assumptions!$B$7*(1+Assumptions!$B$8)^(S4-1),Assumptions!$B$7*(1+Assumptions!$B$8)^11*(1+Assumptions!$B$9)^(S4-12))</f>
        <v>169.287517821893</v>
      </c>
      <c r="T7" s="30" t="n">
        <f aca="false">IF(T4&lt;=12,Assumptions!$B$7*(1+Assumptions!$B$8)^(T4-1),Assumptions!$B$7*(1+Assumptions!$B$8)^11*(1+Assumptions!$B$9)^(T4-12))</f>
        <v>176.059018534769</v>
      </c>
      <c r="U7" s="30" t="n">
        <f aca="false">IF(U4&lt;=12,Assumptions!$B$7*(1+Assumptions!$B$8)^(U4-1),Assumptions!$B$7*(1+Assumptions!$B$8)^11*(1+Assumptions!$B$9)^(U4-12))</f>
        <v>183.10137927616</v>
      </c>
      <c r="V7" s="30" t="n">
        <f aca="false">IF(V4&lt;=12,Assumptions!$B$7*(1+Assumptions!$B$8)^(V4-1),Assumptions!$B$7*(1+Assumptions!$B$8)^11*(1+Assumptions!$B$9)^(V4-12))</f>
        <v>190.425434447206</v>
      </c>
      <c r="W7" s="30" t="n">
        <f aca="false">IF(W4&lt;=12,Assumptions!$B$7*(1+Assumptions!$B$8)^(W4-1),Assumptions!$B$7*(1+Assumptions!$B$8)^11*(1+Assumptions!$B$9)^(W4-12))</f>
        <v>198.042451825094</v>
      </c>
      <c r="X7" s="30" t="n">
        <f aca="false">IF(X4&lt;=12,Assumptions!$B$7*(1+Assumptions!$B$8)^(X4-1),Assumptions!$B$7*(1+Assumptions!$B$8)^11*(1+Assumptions!$B$9)^(X4-12))</f>
        <v>205.964149898098</v>
      </c>
      <c r="Y7" s="30" t="n">
        <f aca="false">IF(Y4&lt;=12,Assumptions!$B$7*(1+Assumptions!$B$8)^(Y4-1),Assumptions!$B$7*(1+Assumptions!$B$8)^11*(1+Assumptions!$B$9)^(Y4-12))</f>
        <v>214.202715894022</v>
      </c>
      <c r="Z7" s="30" t="n">
        <f aca="false">IF(Z4&lt;=12,Assumptions!$B$7*(1+Assumptions!$B$8)^(Z4-1),Assumptions!$B$7*(1+Assumptions!$B$8)^11*(1+Assumptions!$B$9)^(Z4-12))</f>
        <v>222.770824529783</v>
      </c>
      <c r="AA7" s="30" t="n">
        <f aca="false">IF(AA4&lt;=12,Assumptions!$B$7*(1+Assumptions!$B$8)^(AA4-1),Assumptions!$B$7*(1+Assumptions!$B$8)^11*(1+Assumptions!$B$9)^(AA4-12))</f>
        <v>231.681657510974</v>
      </c>
      <c r="AB7" s="30" t="n">
        <f aca="false">IF(AB4&lt;=12,Assumptions!$B$7*(1+Assumptions!$B$8)^(AB4-1),Assumptions!$B$7*(1+Assumptions!$B$8)^11*(1+Assumptions!$B$9)^(AB4-12))</f>
        <v>240.948923811413</v>
      </c>
      <c r="AC7" s="30" t="n">
        <f aca="false">IF(AC4&lt;=12,Assumptions!$B$7*(1+Assumptions!$B$8)^(AC4-1),Assumptions!$B$7*(1+Assumptions!$B$8)^11*(1+Assumptions!$B$9)^(AC4-12))</f>
        <v>250.58688076387</v>
      </c>
      <c r="AD7" s="30" t="n">
        <f aca="false">IF(AD4&lt;=12,Assumptions!$B$7*(1+Assumptions!$B$8)^(AD4-1),Assumptions!$B$7*(1+Assumptions!$B$8)^11*(1+Assumptions!$B$9)^(AD4-12))</f>
        <v>260.610355994424</v>
      </c>
      <c r="AE7" s="30" t="n">
        <f aca="false">IF(AE4&lt;=12,Assumptions!$B$7*(1+Assumptions!$B$8)^(AE4-1),Assumptions!$B$7*(1+Assumptions!$B$8)^11*(1+Assumptions!$B$9)^(AE4-12))</f>
        <v>271.034770234201</v>
      </c>
      <c r="AF7" s="30" t="n">
        <f aca="false">IF(AF4&lt;=12,Assumptions!$B$7*(1+Assumptions!$B$8)^(AF4-1),Assumptions!$B$7*(1+Assumptions!$B$8)^11*(1+Assumptions!$B$9)^(AF4-12))</f>
        <v>281.876161043569</v>
      </c>
      <c r="AG7" s="30" t="n">
        <f aca="false">IF(AG4&lt;=12,Assumptions!$B$7*(1+Assumptions!$B$8)^(AG4-1),Assumptions!$B$7*(1+Assumptions!$B$8)^11*(1+Assumptions!$B$9)^(AG4-12))</f>
        <v>293.151207485312</v>
      </c>
      <c r="AH7" s="30" t="n">
        <f aca="false">IF(AH4&lt;=12,Assumptions!$B$7*(1+Assumptions!$B$8)^(AH4-1),Assumptions!$B$7*(1+Assumptions!$B$8)^11*(1+Assumptions!$B$9)^(AH4-12))</f>
        <v>304.877255784725</v>
      </c>
      <c r="AI7" s="30" t="n">
        <f aca="false">IF(AI4&lt;=12,Assumptions!$B$7*(1+Assumptions!$B$8)^(AI4-1),Assumptions!$B$7*(1+Assumptions!$B$8)^11*(1+Assumptions!$B$9)^(AI4-12))</f>
        <v>317.072346016114</v>
      </c>
      <c r="AJ7" s="30" t="n">
        <f aca="false">IF(AJ4&lt;=12,Assumptions!$B$7*(1+Assumptions!$B$8)^(AJ4-1),Assumptions!$B$7*(1+Assumptions!$B$8)^11*(1+Assumptions!$B$9)^(AJ4-12))</f>
        <v>329.755239856758</v>
      </c>
      <c r="AK7" s="30" t="n">
        <f aca="false">IF(AK4&lt;=12,Assumptions!$B$7*(1+Assumptions!$B$8)^(AK4-1),Assumptions!$B$7*(1+Assumptions!$B$8)^11*(1+Assumptions!$B$9)^(AK4-12))</f>
        <v>342.945449451029</v>
      </c>
      <c r="AL7" s="30" t="n">
        <f aca="false">IF(AL4&lt;=12,Assumptions!$B$7*(1+Assumptions!$B$8)^(AL4-1),Assumptions!$B$7*(1+Assumptions!$B$8)^11*(1+Assumptions!$B$9)^(AL4-12))</f>
        <v>356.66326742907</v>
      </c>
    </row>
    <row r="8" customFormat="false" ht="15" hidden="false" customHeight="false" outlineLevel="0" collapsed="false">
      <c r="A8" s="6" t="s">
        <v>327</v>
      </c>
      <c r="B8" s="1"/>
      <c r="C8" s="33" t="n">
        <f aca="false">C7</f>
        <v>40</v>
      </c>
      <c r="D8" s="33" t="n">
        <f aca="false">C8*(1-Assumptions!$B$10)+D7</f>
        <v>82.4</v>
      </c>
      <c r="E8" s="33" t="n">
        <f aca="false">D8*(1-Assumptions!$B$10)+E7</f>
        <v>127.632</v>
      </c>
      <c r="F8" s="33" t="n">
        <f aca="false">E8*(1-Assumptions!$B$10)+F7</f>
        <v>176.1712</v>
      </c>
      <c r="G8" s="33" t="n">
        <f aca="false">F8*(1-Assumptions!$B$10)+G7</f>
        <v>228.5417024</v>
      </c>
      <c r="H8" s="33" t="n">
        <f aca="false">G8*(1-Assumptions!$B$10)+H7</f>
        <v>285.322867584</v>
      </c>
      <c r="I8" s="33" t="n">
        <f aca="false">H8*(1-Assumptions!$B$10)+I7</f>
        <v>347.15640293632</v>
      </c>
      <c r="J8" s="33" t="n">
        <f aca="false">I8*(1-Assumptions!$B$10)+J7</f>
        <v>414.754275056384</v>
      </c>
      <c r="K8" s="33" t="n">
        <f aca="false">J8*(1-Assumptions!$B$10)+K7</f>
        <v>488.907545604794</v>
      </c>
      <c r="L8" s="33" t="n">
        <f aca="false">K8*(1-Assumptions!$B$10)+L7</f>
        <v>570.496243166514</v>
      </c>
      <c r="M8" s="33" t="n">
        <f aca="false">L8*(1-Assumptions!$B$10)+M7</f>
        <v>660.500396910291</v>
      </c>
      <c r="N8" s="33" t="n">
        <f aca="false">M8*(1-Assumptions!$B$10)+N7</f>
        <v>760.012372829494</v>
      </c>
      <c r="O8" s="33" t="n">
        <f aca="false">N8*(1-Assumptions!$B$10)+O7</f>
        <v>859.119310182898</v>
      </c>
      <c r="P8" s="33" t="n">
        <f aca="false">O8*(1-Assumptions!$B$10)+P7</f>
        <v>958.068138484025</v>
      </c>
      <c r="Q8" s="33" t="n">
        <f aca="false">P8*(1-Assumptions!$B$10)+Q7</f>
        <v>1057.09987656357</v>
      </c>
      <c r="R8" s="33" t="n">
        <f aca="false">Q8*(1-Assumptions!$B$10)+R7</f>
        <v>1156.45034341388</v>
      </c>
      <c r="S8" s="33" t="n">
        <f aca="false">R8*(1-Assumptions!$B$10)+S7</f>
        <v>1256.35084063094</v>
      </c>
      <c r="T8" s="33" t="n">
        <f aca="false">S8*(1-Assumptions!$B$10)+T7</f>
        <v>1357.02880872785</v>
      </c>
      <c r="U8" s="33" t="n">
        <f aca="false">T8*(1-Assumptions!$B$10)+U7</f>
        <v>1458.70845948034</v>
      </c>
      <c r="V8" s="33" t="n">
        <f aca="false">U8*(1-Assumptions!$B$10)+V7</f>
        <v>1561.61138635873</v>
      </c>
      <c r="W8" s="33" t="n">
        <f aca="false">V8*(1-Assumptions!$B$10)+W7</f>
        <v>1665.9571550023</v>
      </c>
      <c r="X8" s="33" t="n">
        <f aca="false">W8*(1-Assumptions!$B$10)+X7</f>
        <v>1771.96387560026</v>
      </c>
      <c r="Y8" s="33" t="n">
        <f aca="false">X8*(1-Assumptions!$B$10)+Y7</f>
        <v>1879.84875895826</v>
      </c>
      <c r="Z8" s="33" t="n">
        <f aca="false">Y8*(1-Assumptions!$B$10)+Z7</f>
        <v>1989.82865795055</v>
      </c>
      <c r="AA8" s="33" t="n">
        <f aca="false">Z8*(1-Assumptions!$B$10)+AA7</f>
        <v>2102.12059598449</v>
      </c>
      <c r="AB8" s="33" t="n">
        <f aca="false">AA8*(1-Assumptions!$B$10)+AB7</f>
        <v>2216.94228403683</v>
      </c>
      <c r="AC8" s="33" t="n">
        <f aca="false">AB8*(1-Assumptions!$B$10)+AC7</f>
        <v>2334.51262775849</v>
      </c>
      <c r="AD8" s="33" t="n">
        <f aca="false">AC8*(1-Assumptions!$B$10)+AD7</f>
        <v>2455.05222608741</v>
      </c>
      <c r="AE8" s="33" t="n">
        <f aca="false">AD8*(1-Assumptions!$B$10)+AE7</f>
        <v>2578.78386275637</v>
      </c>
      <c r="AF8" s="33" t="n">
        <f aca="false">AE8*(1-Assumptions!$B$10)+AF7</f>
        <v>2705.93299203455</v>
      </c>
      <c r="AG8" s="33" t="n">
        <f aca="false">AF8*(1-Assumptions!$B$10)+AG7</f>
        <v>2836.72821999779</v>
      </c>
      <c r="AH8" s="33" t="n">
        <f aca="false">AG8*(1-Assumptions!$B$10)+AH7</f>
        <v>2971.40178258265</v>
      </c>
      <c r="AI8" s="33" t="n">
        <f aca="false">AH8*(1-Assumptions!$B$10)+AI7</f>
        <v>3110.1900216438</v>
      </c>
      <c r="AJ8" s="33" t="n">
        <f aca="false">AI8*(1-Assumptions!$B$10)+AJ7</f>
        <v>3253.33386020193</v>
      </c>
      <c r="AK8" s="33" t="n">
        <f aca="false">AJ8*(1-Assumptions!$B$10)+AK7</f>
        <v>3401.07927804085</v>
      </c>
      <c r="AL8" s="33" t="n">
        <f aca="false">AK8*(1-Assumptions!$B$10)+AL7</f>
        <v>3553.67778878747</v>
      </c>
    </row>
    <row r="9" customFormat="false" ht="15" hidden="false" customHeight="false" outlineLevel="0" collapsed="false">
      <c r="A9" s="8" t="s">
        <v>328</v>
      </c>
      <c r="B9" s="1"/>
      <c r="C9" s="34" t="n">
        <f aca="false">Assumptions!$B$11+(Assumptions!$B$12-Assumptions!$B$11)*MIN(C4-1,23)/23</f>
        <v>12</v>
      </c>
      <c r="D9" s="34" t="n">
        <f aca="false">Assumptions!$B$11+(Assumptions!$B$12-Assumptions!$B$11)*MIN(D4-1,23)/23</f>
        <v>12.7826086956522</v>
      </c>
      <c r="E9" s="34" t="n">
        <f aca="false">Assumptions!$B$11+(Assumptions!$B$12-Assumptions!$B$11)*MIN(E4-1,23)/23</f>
        <v>13.5652173913043</v>
      </c>
      <c r="F9" s="34" t="n">
        <f aca="false">Assumptions!$B$11+(Assumptions!$B$12-Assumptions!$B$11)*MIN(F4-1,23)/23</f>
        <v>14.3478260869565</v>
      </c>
      <c r="G9" s="34" t="n">
        <f aca="false">Assumptions!$B$11+(Assumptions!$B$12-Assumptions!$B$11)*MIN(G4-1,23)/23</f>
        <v>15.1304347826087</v>
      </c>
      <c r="H9" s="34" t="n">
        <f aca="false">Assumptions!$B$11+(Assumptions!$B$12-Assumptions!$B$11)*MIN(H4-1,23)/23</f>
        <v>15.9130434782609</v>
      </c>
      <c r="I9" s="34" t="n">
        <f aca="false">Assumptions!$B$11+(Assumptions!$B$12-Assumptions!$B$11)*MIN(I4-1,23)/23</f>
        <v>16.695652173913</v>
      </c>
      <c r="J9" s="34" t="n">
        <f aca="false">Assumptions!$B$11+(Assumptions!$B$12-Assumptions!$B$11)*MIN(J4-1,23)/23</f>
        <v>17.4782608695652</v>
      </c>
      <c r="K9" s="34" t="n">
        <f aca="false">Assumptions!$B$11+(Assumptions!$B$12-Assumptions!$B$11)*MIN(K4-1,23)/23</f>
        <v>18.2608695652174</v>
      </c>
      <c r="L9" s="34" t="n">
        <f aca="false">Assumptions!$B$11+(Assumptions!$B$12-Assumptions!$B$11)*MIN(L4-1,23)/23</f>
        <v>19.0434782608696</v>
      </c>
      <c r="M9" s="34" t="n">
        <f aca="false">Assumptions!$B$11+(Assumptions!$B$12-Assumptions!$B$11)*MIN(M4-1,23)/23</f>
        <v>19.8260869565217</v>
      </c>
      <c r="N9" s="34" t="n">
        <f aca="false">Assumptions!$B$11+(Assumptions!$B$12-Assumptions!$B$11)*MIN(N4-1,23)/23</f>
        <v>20.6086956521739</v>
      </c>
      <c r="O9" s="34" t="n">
        <f aca="false">Assumptions!$B$11+(Assumptions!$B$12-Assumptions!$B$11)*MIN(O4-1,23)/23</f>
        <v>21.3913043478261</v>
      </c>
      <c r="P9" s="34" t="n">
        <f aca="false">Assumptions!$B$11+(Assumptions!$B$12-Assumptions!$B$11)*MIN(P4-1,23)/23</f>
        <v>22.1739130434783</v>
      </c>
      <c r="Q9" s="34" t="n">
        <f aca="false">Assumptions!$B$11+(Assumptions!$B$12-Assumptions!$B$11)*MIN(Q4-1,23)/23</f>
        <v>22.9565217391304</v>
      </c>
      <c r="R9" s="34" t="n">
        <f aca="false">Assumptions!$B$11+(Assumptions!$B$12-Assumptions!$B$11)*MIN(R4-1,23)/23</f>
        <v>23.7391304347826</v>
      </c>
      <c r="S9" s="34" t="n">
        <f aca="false">Assumptions!$B$11+(Assumptions!$B$12-Assumptions!$B$11)*MIN(S4-1,23)/23</f>
        <v>24.5217391304348</v>
      </c>
      <c r="T9" s="34" t="n">
        <f aca="false">Assumptions!$B$11+(Assumptions!$B$12-Assumptions!$B$11)*MIN(T4-1,23)/23</f>
        <v>25.304347826087</v>
      </c>
      <c r="U9" s="34" t="n">
        <f aca="false">Assumptions!$B$11+(Assumptions!$B$12-Assumptions!$B$11)*MIN(U4-1,23)/23</f>
        <v>26.0869565217391</v>
      </c>
      <c r="V9" s="34" t="n">
        <f aca="false">Assumptions!$B$11+(Assumptions!$B$12-Assumptions!$B$11)*MIN(V4-1,23)/23</f>
        <v>26.8695652173913</v>
      </c>
      <c r="W9" s="34" t="n">
        <f aca="false">Assumptions!$B$11+(Assumptions!$B$12-Assumptions!$B$11)*MIN(W4-1,23)/23</f>
        <v>27.6521739130435</v>
      </c>
      <c r="X9" s="34" t="n">
        <f aca="false">Assumptions!$B$11+(Assumptions!$B$12-Assumptions!$B$11)*MIN(X4-1,23)/23</f>
        <v>28.4347826086957</v>
      </c>
      <c r="Y9" s="34" t="n">
        <f aca="false">Assumptions!$B$11+(Assumptions!$B$12-Assumptions!$B$11)*MIN(Y4-1,23)/23</f>
        <v>29.2173913043478</v>
      </c>
      <c r="Z9" s="34" t="n">
        <f aca="false">Assumptions!$B$11+(Assumptions!$B$12-Assumptions!$B$11)*MIN(Z4-1,23)/23</f>
        <v>30</v>
      </c>
      <c r="AA9" s="34" t="n">
        <f aca="false">Assumptions!$B$11+(Assumptions!$B$12-Assumptions!$B$11)*MIN(AA4-1,23)/23</f>
        <v>30</v>
      </c>
      <c r="AB9" s="34" t="n">
        <f aca="false">Assumptions!$B$11+(Assumptions!$B$12-Assumptions!$B$11)*MIN(AB4-1,23)/23</f>
        <v>30</v>
      </c>
      <c r="AC9" s="34" t="n">
        <f aca="false">Assumptions!$B$11+(Assumptions!$B$12-Assumptions!$B$11)*MIN(AC4-1,23)/23</f>
        <v>30</v>
      </c>
      <c r="AD9" s="34" t="n">
        <f aca="false">Assumptions!$B$11+(Assumptions!$B$12-Assumptions!$B$11)*MIN(AD4-1,23)/23</f>
        <v>30</v>
      </c>
      <c r="AE9" s="34" t="n">
        <f aca="false">Assumptions!$B$11+(Assumptions!$B$12-Assumptions!$B$11)*MIN(AE4-1,23)/23</f>
        <v>30</v>
      </c>
      <c r="AF9" s="34" t="n">
        <f aca="false">Assumptions!$B$11+(Assumptions!$B$12-Assumptions!$B$11)*MIN(AF4-1,23)/23</f>
        <v>30</v>
      </c>
      <c r="AG9" s="34" t="n">
        <f aca="false">Assumptions!$B$11+(Assumptions!$B$12-Assumptions!$B$11)*MIN(AG4-1,23)/23</f>
        <v>30</v>
      </c>
      <c r="AH9" s="34" t="n">
        <f aca="false">Assumptions!$B$11+(Assumptions!$B$12-Assumptions!$B$11)*MIN(AH4-1,23)/23</f>
        <v>30</v>
      </c>
      <c r="AI9" s="34" t="n">
        <f aca="false">Assumptions!$B$11+(Assumptions!$B$12-Assumptions!$B$11)*MIN(AI4-1,23)/23</f>
        <v>30</v>
      </c>
      <c r="AJ9" s="34" t="n">
        <f aca="false">Assumptions!$B$11+(Assumptions!$B$12-Assumptions!$B$11)*MIN(AJ4-1,23)/23</f>
        <v>30</v>
      </c>
      <c r="AK9" s="34" t="n">
        <f aca="false">Assumptions!$B$11+(Assumptions!$B$12-Assumptions!$B$11)*MIN(AK4-1,23)/23</f>
        <v>30</v>
      </c>
      <c r="AL9" s="34" t="n">
        <f aca="false">Assumptions!$B$11+(Assumptions!$B$12-Assumptions!$B$11)*MIN(AL4-1,23)/23</f>
        <v>30</v>
      </c>
    </row>
    <row r="10" customFormat="false" ht="15" hidden="false" customHeight="false" outlineLevel="0" collapsed="false">
      <c r="A10" s="8" t="s">
        <v>329</v>
      </c>
      <c r="B10" s="1"/>
      <c r="C10" s="30" t="n">
        <f aca="false">C8*C9</f>
        <v>480</v>
      </c>
      <c r="D10" s="30" t="n">
        <f aca="false">D8*D9</f>
        <v>1053.28695652174</v>
      </c>
      <c r="E10" s="30" t="n">
        <f aca="false">E8*E9</f>
        <v>1731.35582608696</v>
      </c>
      <c r="F10" s="30" t="n">
        <f aca="false">F8*F9</f>
        <v>2527.67373913043</v>
      </c>
      <c r="G10" s="30" t="n">
        <f aca="false">G8*G9</f>
        <v>3457.93532326957</v>
      </c>
      <c r="H10" s="30" t="n">
        <f aca="false">H8*H9</f>
        <v>4540.35519720626</v>
      </c>
      <c r="I10" s="30" t="n">
        <f aca="false">I8*I9</f>
        <v>5796.00255337161</v>
      </c>
      <c r="J10" s="30" t="n">
        <f aca="false">J8*J9</f>
        <v>7249.18341620289</v>
      </c>
      <c r="K10" s="30" t="n">
        <f aca="false">K8*K9</f>
        <v>8927.87691973971</v>
      </c>
      <c r="L10" s="30" t="n">
        <f aca="false">L8*L9</f>
        <v>10864.2328046493</v>
      </c>
      <c r="M10" s="30" t="n">
        <f aca="false">M8*M9</f>
        <v>13095.1383039606</v>
      </c>
      <c r="N10" s="30" t="n">
        <f aca="false">N8*N9</f>
        <v>15662.8636835296</v>
      </c>
      <c r="O10" s="30" t="n">
        <f aca="false">O8*O9</f>
        <v>18377.6826352168</v>
      </c>
      <c r="P10" s="30" t="n">
        <f aca="false">P8*P9</f>
        <v>21244.1195924719</v>
      </c>
      <c r="Q10" s="30" t="n">
        <f aca="false">Q8*Q9</f>
        <v>24267.3362967636</v>
      </c>
      <c r="R10" s="30" t="n">
        <f aca="false">R8*R9</f>
        <v>27453.1255436513</v>
      </c>
      <c r="S10" s="30" t="n">
        <f aca="false">S8*S9</f>
        <v>30807.9075702544</v>
      </c>
      <c r="T10" s="30" t="n">
        <f aca="false">T8*T9</f>
        <v>34338.72898607</v>
      </c>
      <c r="U10" s="30" t="n">
        <f aca="false">U8*U9</f>
        <v>38053.2641603567</v>
      </c>
      <c r="V10" s="30" t="n">
        <f aca="false">V8*V9</f>
        <v>41959.8189899867</v>
      </c>
      <c r="W10" s="30" t="n">
        <f aca="false">W8*W9</f>
        <v>46067.3369818027</v>
      </c>
      <c r="X10" s="30" t="n">
        <f aca="false">X8*X9</f>
        <v>50385.4075931552</v>
      </c>
      <c r="Y10" s="30" t="n">
        <f aca="false">Y8*Y9</f>
        <v>54924.2767834762</v>
      </c>
      <c r="Z10" s="30" t="n">
        <f aca="false">Z8*Z9</f>
        <v>59694.8597385165</v>
      </c>
      <c r="AA10" s="30" t="n">
        <f aca="false">AA8*AA9</f>
        <v>63063.6178795347</v>
      </c>
      <c r="AB10" s="30" t="n">
        <f aca="false">AB8*AB9</f>
        <v>66508.268521105</v>
      </c>
      <c r="AC10" s="30" t="n">
        <f aca="false">AC8*AC9</f>
        <v>70035.3788327548</v>
      </c>
      <c r="AD10" s="30" t="n">
        <f aca="false">AD8*AD9</f>
        <v>73651.5667826223</v>
      </c>
      <c r="AE10" s="30" t="n">
        <f aca="false">AE8*AE9</f>
        <v>77363.515882691</v>
      </c>
      <c r="AF10" s="30" t="n">
        <f aca="false">AF8*AF9</f>
        <v>81177.9897610366</v>
      </c>
      <c r="AG10" s="30" t="n">
        <f aca="false">AG8*AG9</f>
        <v>85101.8465999338</v>
      </c>
      <c r="AH10" s="30" t="n">
        <f aca="false">AH8*AH9</f>
        <v>89142.0534774795</v>
      </c>
      <c r="AI10" s="30" t="n">
        <f aca="false">AI8*AI9</f>
        <v>93305.7006493141</v>
      </c>
      <c r="AJ10" s="30" t="n">
        <f aca="false">AJ8*AJ9</f>
        <v>97600.015806058</v>
      </c>
      <c r="AK10" s="30" t="n">
        <f aca="false">AK8*AK9</f>
        <v>102032.378341225</v>
      </c>
      <c r="AL10" s="30" t="n">
        <f aca="false">AL8*AL9</f>
        <v>106610.333663624</v>
      </c>
    </row>
    <row r="11" customFormat="false" ht="15" hidden="false" customHeight="false" outlineLevel="0" collapsed="false">
      <c r="A11" s="6" t="s">
        <v>330</v>
      </c>
      <c r="B11" s="1"/>
      <c r="C11" s="10" t="n">
        <f aca="false">C10*Assumptions!$B$13</f>
        <v>12000</v>
      </c>
      <c r="D11" s="10" t="n">
        <f aca="false">D10*Assumptions!$B$13</f>
        <v>26332.1739130435</v>
      </c>
      <c r="E11" s="10" t="n">
        <f aca="false">E10*Assumptions!$B$13</f>
        <v>43283.8956521739</v>
      </c>
      <c r="F11" s="10" t="n">
        <f aca="false">F10*Assumptions!$B$13</f>
        <v>63191.8434782609</v>
      </c>
      <c r="G11" s="10" t="n">
        <f aca="false">G10*Assumptions!$B$13</f>
        <v>86448.3830817391</v>
      </c>
      <c r="H11" s="10" t="n">
        <f aca="false">H10*Assumptions!$B$13</f>
        <v>113508.879930157</v>
      </c>
      <c r="I11" s="10" t="n">
        <f aca="false">I10*Assumptions!$B$13</f>
        <v>144900.06383429</v>
      </c>
      <c r="J11" s="10" t="n">
        <f aca="false">J10*Assumptions!$B$13</f>
        <v>181229.585405072</v>
      </c>
      <c r="K11" s="10" t="n">
        <f aca="false">K10*Assumptions!$B$13</f>
        <v>223196.922993493</v>
      </c>
      <c r="L11" s="10" t="n">
        <f aca="false">L10*Assumptions!$B$13</f>
        <v>271605.820116231</v>
      </c>
      <c r="M11" s="10" t="n">
        <f aca="false">M10*Assumptions!$B$13</f>
        <v>327378.457599014</v>
      </c>
      <c r="N11" s="10" t="n">
        <f aca="false">N10*Assumptions!$B$13</f>
        <v>391571.59208824</v>
      </c>
      <c r="O11" s="10" t="n">
        <f aca="false">O10*Assumptions!$B$13</f>
        <v>459442.06588042</v>
      </c>
      <c r="P11" s="10" t="n">
        <f aca="false">P10*Assumptions!$B$13</f>
        <v>531102.989811796</v>
      </c>
      <c r="Q11" s="10" t="n">
        <f aca="false">Q10*Assumptions!$B$13</f>
        <v>606683.407419091</v>
      </c>
      <c r="R11" s="10" t="n">
        <f aca="false">R10*Assumptions!$B$13</f>
        <v>686328.138591282</v>
      </c>
      <c r="S11" s="10" t="n">
        <f aca="false">S10*Assumptions!$B$13</f>
        <v>770197.68925636</v>
      </c>
      <c r="T11" s="10" t="n">
        <f aca="false">T10*Assumptions!$B$13</f>
        <v>858468.224651751</v>
      </c>
      <c r="U11" s="10" t="n">
        <f aca="false">U10*Assumptions!$B$13</f>
        <v>951331.604008919</v>
      </c>
      <c r="V11" s="10" t="n">
        <f aca="false">V10*Assumptions!$B$13</f>
        <v>1048995.47474967</v>
      </c>
      <c r="W11" s="10" t="n">
        <f aca="false">W10*Assumptions!$B$13</f>
        <v>1151683.42454507</v>
      </c>
      <c r="X11" s="10" t="n">
        <f aca="false">X10*Assumptions!$B$13</f>
        <v>1259635.18982888</v>
      </c>
      <c r="Y11" s="10" t="n">
        <f aca="false">Y10*Assumptions!$B$13</f>
        <v>1373106.91958691</v>
      </c>
      <c r="Z11" s="10" t="n">
        <f aca="false">Z10*Assumptions!$B$13</f>
        <v>1492371.49346291</v>
      </c>
      <c r="AA11" s="10" t="n">
        <f aca="false">AA10*Assumptions!$B$13</f>
        <v>1576590.44698837</v>
      </c>
      <c r="AB11" s="10" t="n">
        <f aca="false">AB10*Assumptions!$B$13</f>
        <v>1662706.71302763</v>
      </c>
      <c r="AC11" s="10" t="n">
        <f aca="false">AC10*Assumptions!$B$13</f>
        <v>1750884.47081887</v>
      </c>
      <c r="AD11" s="10" t="n">
        <f aca="false">AD10*Assumptions!$B$13</f>
        <v>1841289.16956556</v>
      </c>
      <c r="AE11" s="10" t="n">
        <f aca="false">AE10*Assumptions!$B$13</f>
        <v>1934087.89706727</v>
      </c>
      <c r="AF11" s="10" t="n">
        <f aca="false">AF10*Assumptions!$B$13</f>
        <v>2029449.74402591</v>
      </c>
      <c r="AG11" s="10" t="n">
        <f aca="false">AG10*Assumptions!$B$13</f>
        <v>2127546.16499834</v>
      </c>
      <c r="AH11" s="10" t="n">
        <f aca="false">AH10*Assumptions!$B$13</f>
        <v>2228551.33693699</v>
      </c>
      <c r="AI11" s="10" t="n">
        <f aca="false">AI10*Assumptions!$B$13</f>
        <v>2332642.51623285</v>
      </c>
      <c r="AJ11" s="10" t="n">
        <f aca="false">AJ10*Assumptions!$B$13</f>
        <v>2440000.39515145</v>
      </c>
      <c r="AK11" s="10" t="n">
        <f aca="false">AK10*Assumptions!$B$13</f>
        <v>2550809.45853063</v>
      </c>
      <c r="AL11" s="10" t="n">
        <f aca="false">AL10*Assumptions!$B$13</f>
        <v>2665258.3415906</v>
      </c>
    </row>
    <row r="12" customFormat="false" ht="15" hidden="false" customHeight="false" outlineLevel="0" collapsed="false">
      <c r="A12" s="8" t="s">
        <v>331</v>
      </c>
      <c r="B12" s="1"/>
      <c r="C12" s="30" t="n">
        <f aca="false">C11/Assumptions!$B$21</f>
        <v>800</v>
      </c>
      <c r="D12" s="30" t="n">
        <f aca="false">D11/Assumptions!$B$21</f>
        <v>1755.47826086957</v>
      </c>
      <c r="E12" s="30" t="n">
        <f aca="false">E11/Assumptions!$B$21</f>
        <v>2885.59304347826</v>
      </c>
      <c r="F12" s="30" t="n">
        <f aca="false">F11/Assumptions!$B$21</f>
        <v>4212.78956521739</v>
      </c>
      <c r="G12" s="30" t="n">
        <f aca="false">G11/Assumptions!$B$21</f>
        <v>5763.22553878261</v>
      </c>
      <c r="H12" s="30" t="n">
        <f aca="false">H11/Assumptions!$B$21</f>
        <v>7567.25866201044</v>
      </c>
      <c r="I12" s="30" t="n">
        <f aca="false">I11/Assumptions!$B$21</f>
        <v>9660.00425561934</v>
      </c>
      <c r="J12" s="30" t="n">
        <f aca="false">J11/Assumptions!$B$21</f>
        <v>12081.9723603381</v>
      </c>
      <c r="K12" s="30" t="n">
        <f aca="false">K11/Assumptions!$B$21</f>
        <v>14879.7948662328</v>
      </c>
      <c r="L12" s="30" t="n">
        <f aca="false">L11/Assumptions!$B$21</f>
        <v>18107.0546744154</v>
      </c>
      <c r="M12" s="30" t="n">
        <f aca="false">M11/Assumptions!$B$21</f>
        <v>21825.2305066009</v>
      </c>
      <c r="N12" s="30" t="n">
        <f aca="false">N11/Assumptions!$B$21</f>
        <v>26104.7728058826</v>
      </c>
      <c r="O12" s="30" t="n">
        <f aca="false">O11/Assumptions!$B$21</f>
        <v>30629.4710586946</v>
      </c>
      <c r="P12" s="30" t="n">
        <f aca="false">P11/Assumptions!$B$21</f>
        <v>35406.8659874531</v>
      </c>
      <c r="Q12" s="30" t="n">
        <f aca="false">Q11/Assumptions!$B$21</f>
        <v>40445.5604946061</v>
      </c>
      <c r="R12" s="30" t="n">
        <f aca="false">R11/Assumptions!$B$21</f>
        <v>45755.2092394188</v>
      </c>
      <c r="S12" s="30" t="n">
        <f aca="false">S11/Assumptions!$B$21</f>
        <v>51346.5126170907</v>
      </c>
      <c r="T12" s="30" t="n">
        <f aca="false">T11/Assumptions!$B$21</f>
        <v>57231.2149767834</v>
      </c>
      <c r="U12" s="30" t="n">
        <f aca="false">U11/Assumptions!$B$21</f>
        <v>63422.1069339279</v>
      </c>
      <c r="V12" s="30" t="n">
        <f aca="false">V11/Assumptions!$B$21</f>
        <v>69933.0316499778</v>
      </c>
      <c r="W12" s="30" t="n">
        <f aca="false">W11/Assumptions!$B$21</f>
        <v>76778.8949696711</v>
      </c>
      <c r="X12" s="30" t="n">
        <f aca="false">X11/Assumptions!$B$21</f>
        <v>83975.6793219252</v>
      </c>
      <c r="Y12" s="30" t="n">
        <f aca="false">Y11/Assumptions!$B$21</f>
        <v>91540.4613057937</v>
      </c>
      <c r="Z12" s="30" t="n">
        <f aca="false">Z11/Assumptions!$B$21</f>
        <v>99491.4328975275</v>
      </c>
      <c r="AA12" s="30" t="n">
        <f aca="false">AA11/Assumptions!$B$21</f>
        <v>105106.029799225</v>
      </c>
      <c r="AB12" s="30" t="n">
        <f aca="false">AB11/Assumptions!$B$21</f>
        <v>110847.114201842</v>
      </c>
      <c r="AC12" s="30" t="n">
        <f aca="false">AC11/Assumptions!$B$21</f>
        <v>116725.631387925</v>
      </c>
      <c r="AD12" s="30" t="n">
        <f aca="false">AD11/Assumptions!$B$21</f>
        <v>122752.61130437</v>
      </c>
      <c r="AE12" s="30" t="n">
        <f aca="false">AE11/Assumptions!$B$21</f>
        <v>128939.193137818</v>
      </c>
      <c r="AF12" s="30" t="n">
        <f aca="false">AF11/Assumptions!$B$21</f>
        <v>135296.649601728</v>
      </c>
      <c r="AG12" s="30" t="n">
        <f aca="false">AG11/Assumptions!$B$21</f>
        <v>141836.41099989</v>
      </c>
      <c r="AH12" s="30" t="n">
        <f aca="false">AH11/Assumptions!$B$21</f>
        <v>148570.089129132</v>
      </c>
      <c r="AI12" s="30" t="n">
        <f aca="false">AI11/Assumptions!$B$21</f>
        <v>155509.50108219</v>
      </c>
      <c r="AJ12" s="30" t="n">
        <f aca="false">AJ11/Assumptions!$B$21</f>
        <v>162666.693010097</v>
      </c>
      <c r="AK12" s="30" t="n">
        <f aca="false">AK11/Assumptions!$B$21</f>
        <v>170053.963902042</v>
      </c>
      <c r="AL12" s="30" t="n">
        <f aca="false">AL11/Assumptions!$B$21</f>
        <v>177683.889439373</v>
      </c>
    </row>
    <row r="13" customFormat="false" ht="15" hidden="false" customHeight="false" outlineLevel="0" collapsed="false">
      <c r="A13" s="31" t="s">
        <v>332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</row>
    <row r="14" customFormat="false" ht="15" hidden="false" customHeight="false" outlineLevel="0" collapsed="false">
      <c r="A14" s="8" t="s">
        <v>333</v>
      </c>
      <c r="B14" s="1"/>
      <c r="C14" s="35" t="n">
        <f aca="false">C11*Assumptions!$B$17</f>
        <v>2400</v>
      </c>
      <c r="D14" s="35" t="n">
        <f aca="false">D11*Assumptions!$B$17</f>
        <v>5266.4347826087</v>
      </c>
      <c r="E14" s="35" t="n">
        <f aca="false">E11*Assumptions!$B$17</f>
        <v>8656.77913043478</v>
      </c>
      <c r="F14" s="35" t="n">
        <f aca="false">F11*Assumptions!$B$17</f>
        <v>12638.3686956522</v>
      </c>
      <c r="G14" s="35" t="n">
        <f aca="false">G11*Assumptions!$B$17</f>
        <v>17289.6766163478</v>
      </c>
      <c r="H14" s="35" t="n">
        <f aca="false">H11*Assumptions!$B$17</f>
        <v>22701.7759860313</v>
      </c>
      <c r="I14" s="35" t="n">
        <f aca="false">I11*Assumptions!$B$17</f>
        <v>28980.012766858</v>
      </c>
      <c r="J14" s="35" t="n">
        <f aca="false">J11*Assumptions!$B$17</f>
        <v>36245.9170810144</v>
      </c>
      <c r="K14" s="35" t="n">
        <f aca="false">K11*Assumptions!$B$17</f>
        <v>44639.3845986986</v>
      </c>
      <c r="L14" s="35" t="n">
        <f aca="false">L11*Assumptions!$B$17</f>
        <v>54321.1640232463</v>
      </c>
      <c r="M14" s="35" t="n">
        <f aca="false">M11*Assumptions!$B$17</f>
        <v>65475.6915198028</v>
      </c>
      <c r="N14" s="35" t="n">
        <f aca="false">N11*Assumptions!$B$17</f>
        <v>78314.3184176479</v>
      </c>
      <c r="O14" s="35" t="n">
        <f aca="false">O11*Assumptions!$B$17</f>
        <v>91888.4131760839</v>
      </c>
      <c r="P14" s="35" t="n">
        <f aca="false">P11*Assumptions!$B$17</f>
        <v>106220.597962359</v>
      </c>
      <c r="Q14" s="35" t="n">
        <f aca="false">Q11*Assumptions!$B$17</f>
        <v>121336.681483818</v>
      </c>
      <c r="R14" s="35" t="n">
        <f aca="false">R11*Assumptions!$B$17</f>
        <v>137265.627718256</v>
      </c>
      <c r="S14" s="35" t="n">
        <f aca="false">S11*Assumptions!$B$17</f>
        <v>154039.537851272</v>
      </c>
      <c r="T14" s="35" t="n">
        <f aca="false">T11*Assumptions!$B$17</f>
        <v>171693.64493035</v>
      </c>
      <c r="U14" s="35" t="n">
        <f aca="false">U11*Assumptions!$B$17</f>
        <v>190266.320801784</v>
      </c>
      <c r="V14" s="35" t="n">
        <f aca="false">V11*Assumptions!$B$17</f>
        <v>209799.094949933</v>
      </c>
      <c r="W14" s="35" t="n">
        <f aca="false">W11*Assumptions!$B$17</f>
        <v>230336.684909013</v>
      </c>
      <c r="X14" s="35" t="n">
        <f aca="false">X11*Assumptions!$B$17</f>
        <v>251927.037965776</v>
      </c>
      <c r="Y14" s="35" t="n">
        <f aca="false">Y11*Assumptions!$B$17</f>
        <v>274621.383917381</v>
      </c>
      <c r="Z14" s="35" t="n">
        <f aca="false">Z11*Assumptions!$B$17</f>
        <v>298474.298692583</v>
      </c>
      <c r="AA14" s="35" t="n">
        <f aca="false">AA11*Assumptions!$B$17</f>
        <v>315318.089397674</v>
      </c>
      <c r="AB14" s="35" t="n">
        <f aca="false">AB11*Assumptions!$B$17</f>
        <v>332541.342605525</v>
      </c>
      <c r="AC14" s="35" t="n">
        <f aca="false">AC11*Assumptions!$B$17</f>
        <v>350176.894163774</v>
      </c>
      <c r="AD14" s="35" t="n">
        <f aca="false">AD11*Assumptions!$B$17</f>
        <v>368257.833913111</v>
      </c>
      <c r="AE14" s="35" t="n">
        <f aca="false">AE11*Assumptions!$B$17</f>
        <v>386817.579413455</v>
      </c>
      <c r="AF14" s="35" t="n">
        <f aca="false">AF11*Assumptions!$B$17</f>
        <v>405889.948805183</v>
      </c>
      <c r="AG14" s="35" t="n">
        <f aca="false">AG11*Assumptions!$B$17</f>
        <v>425509.232999669</v>
      </c>
      <c r="AH14" s="35" t="n">
        <f aca="false">AH11*Assumptions!$B$17</f>
        <v>445710.267387397</v>
      </c>
      <c r="AI14" s="35" t="n">
        <f aca="false">AI11*Assumptions!$B$17</f>
        <v>466528.503246571</v>
      </c>
      <c r="AJ14" s="35" t="n">
        <f aca="false">AJ11*Assumptions!$B$17</f>
        <v>488000.07903029</v>
      </c>
      <c r="AK14" s="35" t="n">
        <f aca="false">AK11*Assumptions!$B$17</f>
        <v>510161.891706127</v>
      </c>
      <c r="AL14" s="35" t="n">
        <f aca="false">AL11*Assumptions!$B$17</f>
        <v>533051.66831812</v>
      </c>
    </row>
    <row r="15" customFormat="false" ht="15" hidden="false" customHeight="false" outlineLevel="0" collapsed="false">
      <c r="A15" s="8" t="s">
        <v>334</v>
      </c>
      <c r="B15" s="1"/>
      <c r="C15" s="35" t="n">
        <f aca="false">C11*Assumptions!$B$18</f>
        <v>0</v>
      </c>
      <c r="D15" s="35" t="n">
        <f aca="false">D11*Assumptions!$B$18</f>
        <v>0</v>
      </c>
      <c r="E15" s="35" t="n">
        <f aca="false">E11*Assumptions!$B$18</f>
        <v>0</v>
      </c>
      <c r="F15" s="35" t="n">
        <f aca="false">F11*Assumptions!$B$18</f>
        <v>0</v>
      </c>
      <c r="G15" s="35" t="n">
        <f aca="false">G11*Assumptions!$B$18</f>
        <v>0</v>
      </c>
      <c r="H15" s="35" t="n">
        <f aca="false">H11*Assumptions!$B$18</f>
        <v>0</v>
      </c>
      <c r="I15" s="35" t="n">
        <f aca="false">I11*Assumptions!$B$18</f>
        <v>0</v>
      </c>
      <c r="J15" s="35" t="n">
        <f aca="false">J11*Assumptions!$B$18</f>
        <v>0</v>
      </c>
      <c r="K15" s="35" t="n">
        <f aca="false">K11*Assumptions!$B$18</f>
        <v>0</v>
      </c>
      <c r="L15" s="35" t="n">
        <f aca="false">L11*Assumptions!$B$18</f>
        <v>0</v>
      </c>
      <c r="M15" s="35" t="n">
        <f aca="false">M11*Assumptions!$B$18</f>
        <v>0</v>
      </c>
      <c r="N15" s="35" t="n">
        <f aca="false">N11*Assumptions!$B$18</f>
        <v>0</v>
      </c>
      <c r="O15" s="35" t="n">
        <f aca="false">O11*Assumptions!$B$18</f>
        <v>0</v>
      </c>
      <c r="P15" s="35" t="n">
        <f aca="false">P11*Assumptions!$B$18</f>
        <v>0</v>
      </c>
      <c r="Q15" s="35" t="n">
        <f aca="false">Q11*Assumptions!$B$18</f>
        <v>0</v>
      </c>
      <c r="R15" s="35" t="n">
        <f aca="false">R11*Assumptions!$B$18</f>
        <v>0</v>
      </c>
      <c r="S15" s="35" t="n">
        <f aca="false">S11*Assumptions!$B$18</f>
        <v>0</v>
      </c>
      <c r="T15" s="35" t="n">
        <f aca="false">T11*Assumptions!$B$18</f>
        <v>0</v>
      </c>
      <c r="U15" s="35" t="n">
        <f aca="false">U11*Assumptions!$B$18</f>
        <v>0</v>
      </c>
      <c r="V15" s="35" t="n">
        <f aca="false">V11*Assumptions!$B$18</f>
        <v>0</v>
      </c>
      <c r="W15" s="35" t="n">
        <f aca="false">W11*Assumptions!$B$18</f>
        <v>0</v>
      </c>
      <c r="X15" s="35" t="n">
        <f aca="false">X11*Assumptions!$B$18</f>
        <v>0</v>
      </c>
      <c r="Y15" s="35" t="n">
        <f aca="false">Y11*Assumptions!$B$18</f>
        <v>0</v>
      </c>
      <c r="Z15" s="35" t="n">
        <f aca="false">Z11*Assumptions!$B$18</f>
        <v>0</v>
      </c>
      <c r="AA15" s="35" t="n">
        <f aca="false">AA11*Assumptions!$B$18</f>
        <v>0</v>
      </c>
      <c r="AB15" s="35" t="n">
        <f aca="false">AB11*Assumptions!$B$18</f>
        <v>0</v>
      </c>
      <c r="AC15" s="35" t="n">
        <f aca="false">AC11*Assumptions!$B$18</f>
        <v>0</v>
      </c>
      <c r="AD15" s="35" t="n">
        <f aca="false">AD11*Assumptions!$B$18</f>
        <v>0</v>
      </c>
      <c r="AE15" s="35" t="n">
        <f aca="false">AE11*Assumptions!$B$18</f>
        <v>0</v>
      </c>
      <c r="AF15" s="35" t="n">
        <f aca="false">AF11*Assumptions!$B$18</f>
        <v>0</v>
      </c>
      <c r="AG15" s="35" t="n">
        <f aca="false">AG11*Assumptions!$B$18</f>
        <v>0</v>
      </c>
      <c r="AH15" s="35" t="n">
        <f aca="false">AH11*Assumptions!$B$18</f>
        <v>0</v>
      </c>
      <c r="AI15" s="35" t="n">
        <f aca="false">AI11*Assumptions!$B$18</f>
        <v>0</v>
      </c>
      <c r="AJ15" s="35" t="n">
        <f aca="false">AJ11*Assumptions!$B$18</f>
        <v>0</v>
      </c>
      <c r="AK15" s="35" t="n">
        <f aca="false">AK11*Assumptions!$B$18</f>
        <v>0</v>
      </c>
      <c r="AL15" s="35" t="n">
        <f aca="false">AL11*Assumptions!$B$18</f>
        <v>0</v>
      </c>
    </row>
    <row r="16" customFormat="false" ht="15" hidden="false" customHeight="false" outlineLevel="0" collapsed="false">
      <c r="A16" s="8" t="s">
        <v>335</v>
      </c>
      <c r="B16" s="1"/>
      <c r="C16" s="35" t="n">
        <f aca="false">-C11*Assumptions!$B$27*Assumptions!$B$17*Assumptions!$B$26</f>
        <v>-36</v>
      </c>
      <c r="D16" s="35" t="n">
        <f aca="false">-D11*Assumptions!$B$27*Assumptions!$B$17*Assumptions!$B$26</f>
        <v>-78.9965217391305</v>
      </c>
      <c r="E16" s="35" t="n">
        <f aca="false">-E11*Assumptions!$B$27*Assumptions!$B$17*Assumptions!$B$26</f>
        <v>-129.851686956522</v>
      </c>
      <c r="F16" s="35" t="n">
        <f aca="false">-F11*Assumptions!$B$27*Assumptions!$B$17*Assumptions!$B$26</f>
        <v>-189.575530434783</v>
      </c>
      <c r="G16" s="35" t="n">
        <f aca="false">-G11*Assumptions!$B$27*Assumptions!$B$17*Assumptions!$B$26</f>
        <v>-259.345149245217</v>
      </c>
      <c r="H16" s="35" t="n">
        <f aca="false">-H11*Assumptions!$B$27*Assumptions!$B$17*Assumptions!$B$26</f>
        <v>-340.52663979047</v>
      </c>
      <c r="I16" s="35" t="n">
        <f aca="false">-I11*Assumptions!$B$27*Assumptions!$B$17*Assumptions!$B$26</f>
        <v>-434.70019150287</v>
      </c>
      <c r="J16" s="35" t="n">
        <f aca="false">-J11*Assumptions!$B$27*Assumptions!$B$17*Assumptions!$B$26</f>
        <v>-543.688756215217</v>
      </c>
      <c r="K16" s="35" t="n">
        <f aca="false">-K11*Assumptions!$B$27*Assumptions!$B$17*Assumptions!$B$26</f>
        <v>-669.590768980478</v>
      </c>
      <c r="L16" s="35" t="n">
        <f aca="false">-L11*Assumptions!$B$27*Assumptions!$B$17*Assumptions!$B$26</f>
        <v>-814.817460348694</v>
      </c>
      <c r="M16" s="35" t="n">
        <f aca="false">-M11*Assumptions!$B$27*Assumptions!$B$17*Assumptions!$B$26</f>
        <v>-982.135372797042</v>
      </c>
      <c r="N16" s="35" t="n">
        <f aca="false">-N11*Assumptions!$B$27*Assumptions!$B$17*Assumptions!$B$26</f>
        <v>-1174.71477626472</v>
      </c>
      <c r="O16" s="35" t="n">
        <f aca="false">-O11*Assumptions!$B$27*Assumptions!$B$17*Assumptions!$B$26</f>
        <v>-1378.32619764126</v>
      </c>
      <c r="P16" s="35" t="n">
        <f aca="false">-P11*Assumptions!$B$27*Assumptions!$B$17*Assumptions!$B$26</f>
        <v>-1593.30896943539</v>
      </c>
      <c r="Q16" s="35" t="n">
        <f aca="false">-Q11*Assumptions!$B$27*Assumptions!$B$17*Assumptions!$B$26</f>
        <v>-1820.05022225727</v>
      </c>
      <c r="R16" s="35" t="n">
        <f aca="false">-R11*Assumptions!$B$27*Assumptions!$B$17*Assumptions!$B$26</f>
        <v>-2058.98441577385</v>
      </c>
      <c r="S16" s="35" t="n">
        <f aca="false">-S11*Assumptions!$B$27*Assumptions!$B$17*Assumptions!$B$26</f>
        <v>-2310.59306776908</v>
      </c>
      <c r="T16" s="35" t="n">
        <f aca="false">-T11*Assumptions!$B$27*Assumptions!$B$17*Assumptions!$B$26</f>
        <v>-2575.40467395525</v>
      </c>
      <c r="U16" s="35" t="n">
        <f aca="false">-U11*Assumptions!$B$27*Assumptions!$B$17*Assumptions!$B$26</f>
        <v>-2853.99481202676</v>
      </c>
      <c r="V16" s="35" t="n">
        <f aca="false">-V11*Assumptions!$B$27*Assumptions!$B$17*Assumptions!$B$26</f>
        <v>-3146.986424249</v>
      </c>
      <c r="W16" s="35" t="n">
        <f aca="false">-W11*Assumptions!$B$27*Assumptions!$B$17*Assumptions!$B$26</f>
        <v>-3455.0502736352</v>
      </c>
      <c r="X16" s="35" t="n">
        <f aca="false">-X11*Assumptions!$B$27*Assumptions!$B$17*Assumptions!$B$26</f>
        <v>-3778.90556948664</v>
      </c>
      <c r="Y16" s="35" t="n">
        <f aca="false">-Y11*Assumptions!$B$27*Assumptions!$B$17*Assumptions!$B$26</f>
        <v>-4119.32075876072</v>
      </c>
      <c r="Z16" s="35" t="n">
        <f aca="false">-Z11*Assumptions!$B$27*Assumptions!$B$17*Assumptions!$B$26</f>
        <v>-4477.11448038874</v>
      </c>
      <c r="AA16" s="35" t="n">
        <f aca="false">-AA11*Assumptions!$B$27*Assumptions!$B$17*Assumptions!$B$26</f>
        <v>-4729.77134096511</v>
      </c>
      <c r="AB16" s="35" t="n">
        <f aca="false">-AB11*Assumptions!$B$27*Assumptions!$B$17*Assumptions!$B$26</f>
        <v>-4988.12013908288</v>
      </c>
      <c r="AC16" s="35" t="n">
        <f aca="false">-AC11*Assumptions!$B$27*Assumptions!$B$17*Assumptions!$B$26</f>
        <v>-5252.65341245661</v>
      </c>
      <c r="AD16" s="35" t="n">
        <f aca="false">-AD11*Assumptions!$B$27*Assumptions!$B$17*Assumptions!$B$26</f>
        <v>-5523.86750869667</v>
      </c>
      <c r="AE16" s="35" t="n">
        <f aca="false">-AE11*Assumptions!$B$27*Assumptions!$B$17*Assumptions!$B$26</f>
        <v>-5802.26369120182</v>
      </c>
      <c r="AF16" s="35" t="n">
        <f aca="false">-AF11*Assumptions!$B$27*Assumptions!$B$17*Assumptions!$B$26</f>
        <v>-6088.34923207774</v>
      </c>
      <c r="AG16" s="35" t="n">
        <f aca="false">-AG11*Assumptions!$B$27*Assumptions!$B$17*Assumptions!$B$26</f>
        <v>-6382.63849499503</v>
      </c>
      <c r="AH16" s="35" t="n">
        <f aca="false">-AH11*Assumptions!$B$27*Assumptions!$B$17*Assumptions!$B$26</f>
        <v>-6685.65401081096</v>
      </c>
      <c r="AI16" s="35" t="n">
        <f aca="false">-AI11*Assumptions!$B$27*Assumptions!$B$17*Assumptions!$B$26</f>
        <v>-6997.92754869856</v>
      </c>
      <c r="AJ16" s="35" t="n">
        <f aca="false">-AJ11*Assumptions!$B$27*Assumptions!$B$17*Assumptions!$B$26</f>
        <v>-7320.00118545435</v>
      </c>
      <c r="AK16" s="35" t="n">
        <f aca="false">-AK11*Assumptions!$B$27*Assumptions!$B$17*Assumptions!$B$26</f>
        <v>-7652.4283755919</v>
      </c>
      <c r="AL16" s="35" t="n">
        <f aca="false">-AL11*Assumptions!$B$27*Assumptions!$B$17*Assumptions!$B$26</f>
        <v>-7995.7750247718</v>
      </c>
    </row>
    <row r="17" customFormat="false" ht="15" hidden="false" customHeight="false" outlineLevel="0" collapsed="false">
      <c r="A17" s="8" t="s">
        <v>336</v>
      </c>
      <c r="B17" s="1"/>
      <c r="C17" s="35" t="n">
        <f aca="false">C8*Assumptions!$B$36*Assumptions!$B$35</f>
        <v>60.8</v>
      </c>
      <c r="D17" s="35" t="n">
        <f aca="false">D8*Assumptions!$B$36*Assumptions!$B$35</f>
        <v>125.248</v>
      </c>
      <c r="E17" s="35" t="n">
        <f aca="false">E8*Assumptions!$B$36*Assumptions!$B$35</f>
        <v>194.00064</v>
      </c>
      <c r="F17" s="35" t="n">
        <f aca="false">F8*Assumptions!$B$36*Assumptions!$B$35</f>
        <v>267.780224</v>
      </c>
      <c r="G17" s="35" t="n">
        <f aca="false">G8*Assumptions!$B$36*Assumptions!$B$35</f>
        <v>347.383387648</v>
      </c>
      <c r="H17" s="35" t="n">
        <f aca="false">H8*Assumptions!$B$36*Assumptions!$B$35</f>
        <v>433.69075872768</v>
      </c>
      <c r="I17" s="35" t="n">
        <f aca="false">I8*Assumptions!$B$36*Assumptions!$B$35</f>
        <v>527.677732463207</v>
      </c>
      <c r="J17" s="35" t="n">
        <f aca="false">J8*Assumptions!$B$36*Assumptions!$B$35</f>
        <v>630.426498085704</v>
      </c>
      <c r="K17" s="35" t="n">
        <f aca="false">K8*Assumptions!$B$36*Assumptions!$B$35</f>
        <v>743.139469319286</v>
      </c>
      <c r="L17" s="35" t="n">
        <f aca="false">L8*Assumptions!$B$36*Assumptions!$B$35</f>
        <v>867.154289613101</v>
      </c>
      <c r="M17" s="35" t="n">
        <f aca="false">M8*Assumptions!$B$36*Assumptions!$B$35</f>
        <v>1003.96060330364</v>
      </c>
      <c r="N17" s="35" t="n">
        <f aca="false">N8*Assumptions!$B$36*Assumptions!$B$35</f>
        <v>1155.21880670083</v>
      </c>
      <c r="O17" s="35" t="n">
        <f aca="false">O8*Assumptions!$B$36*Assumptions!$B$35</f>
        <v>1305.86135147801</v>
      </c>
      <c r="P17" s="35" t="n">
        <f aca="false">P8*Assumptions!$B$36*Assumptions!$B$35</f>
        <v>1456.26357049572</v>
      </c>
      <c r="Q17" s="35" t="n">
        <f aca="false">Q8*Assumptions!$B$36*Assumptions!$B$35</f>
        <v>1606.79181237662</v>
      </c>
      <c r="R17" s="35" t="n">
        <f aca="false">R8*Assumptions!$B$36*Assumptions!$B$35</f>
        <v>1757.8045219891</v>
      </c>
      <c r="S17" s="35" t="n">
        <f aca="false">S8*Assumptions!$B$36*Assumptions!$B$35</f>
        <v>1909.65327775903</v>
      </c>
      <c r="T17" s="35" t="n">
        <f aca="false">T8*Assumptions!$B$36*Assumptions!$B$35</f>
        <v>2062.68378926634</v>
      </c>
      <c r="U17" s="35" t="n">
        <f aca="false">U8*Assumptions!$B$36*Assumptions!$B$35</f>
        <v>2217.23685841012</v>
      </c>
      <c r="V17" s="35" t="n">
        <f aca="false">V8*Assumptions!$B$36*Assumptions!$B$35</f>
        <v>2373.64930726527</v>
      </c>
      <c r="W17" s="35" t="n">
        <f aca="false">W8*Assumptions!$B$36*Assumptions!$B$35</f>
        <v>2532.25487560349</v>
      </c>
      <c r="X17" s="35" t="n">
        <f aca="false">X8*Assumptions!$B$36*Assumptions!$B$35</f>
        <v>2693.38509091239</v>
      </c>
      <c r="Y17" s="35" t="n">
        <f aca="false">Y8*Assumptions!$B$36*Assumptions!$B$35</f>
        <v>2857.37011361656</v>
      </c>
      <c r="Z17" s="35" t="n">
        <f aca="false">Z8*Assumptions!$B$36*Assumptions!$B$35</f>
        <v>3024.53956008484</v>
      </c>
      <c r="AA17" s="35" t="n">
        <f aca="false">AA8*Assumptions!$B$36*Assumptions!$B$35</f>
        <v>3195.22330589643</v>
      </c>
      <c r="AB17" s="35" t="n">
        <f aca="false">AB8*Assumptions!$B$36*Assumptions!$B$35</f>
        <v>3369.75227173599</v>
      </c>
      <c r="AC17" s="35" t="n">
        <f aca="false">AC8*Assumptions!$B$36*Assumptions!$B$35</f>
        <v>3548.45919419291</v>
      </c>
      <c r="AD17" s="35" t="n">
        <f aca="false">AD8*Assumptions!$B$36*Assumptions!$B$35</f>
        <v>3731.67938365286</v>
      </c>
      <c r="AE17" s="35" t="n">
        <f aca="false">AE8*Assumptions!$B$36*Assumptions!$B$35</f>
        <v>3919.75147138968</v>
      </c>
      <c r="AF17" s="35" t="n">
        <f aca="false">AF8*Assumptions!$B$36*Assumptions!$B$35</f>
        <v>4113.01814789252</v>
      </c>
      <c r="AG17" s="35" t="n">
        <f aca="false">AG8*Assumptions!$B$36*Assumptions!$B$35</f>
        <v>4311.82689439664</v>
      </c>
      <c r="AH17" s="35" t="n">
        <f aca="false">AH8*Assumptions!$B$36*Assumptions!$B$35</f>
        <v>4516.53070952563</v>
      </c>
      <c r="AI17" s="35" t="n">
        <f aca="false">AI8*Assumptions!$B$36*Assumptions!$B$35</f>
        <v>4727.48883289858</v>
      </c>
      <c r="AJ17" s="35" t="n">
        <f aca="false">AJ8*Assumptions!$B$36*Assumptions!$B$35</f>
        <v>4945.06746750694</v>
      </c>
      <c r="AK17" s="35" t="n">
        <f aca="false">AK8*Assumptions!$B$36*Assumptions!$B$35</f>
        <v>5169.64050262209</v>
      </c>
      <c r="AL17" s="35" t="n">
        <f aca="false">AL8*Assumptions!$B$36*Assumptions!$B$35</f>
        <v>5401.59023895695</v>
      </c>
    </row>
    <row r="18" customFormat="false" ht="15" hidden="false" customHeight="false" outlineLevel="0" collapsed="false">
      <c r="A18" s="8" t="s">
        <v>337</v>
      </c>
      <c r="B18" s="1"/>
      <c r="C18" s="35" t="n">
        <f aca="false">C11*(1-Assumptions!$B$17)*Assumptions!$B$34*Assumptions!$B$33</f>
        <v>19.2</v>
      </c>
      <c r="D18" s="35" t="n">
        <f aca="false">D11*(1-Assumptions!$B$17)*Assumptions!$B$34*Assumptions!$B$33</f>
        <v>42.1314782608696</v>
      </c>
      <c r="E18" s="35" t="n">
        <f aca="false">E11*(1-Assumptions!$B$17)*Assumptions!$B$34*Assumptions!$B$33</f>
        <v>69.2542330434783</v>
      </c>
      <c r="F18" s="35" t="n">
        <f aca="false">F11*(1-Assumptions!$B$17)*Assumptions!$B$34*Assumptions!$B$33</f>
        <v>101.106949565217</v>
      </c>
      <c r="G18" s="35" t="n">
        <f aca="false">G11*(1-Assumptions!$B$17)*Assumptions!$B$34*Assumptions!$B$33</f>
        <v>138.317412930783</v>
      </c>
      <c r="H18" s="35" t="n">
        <f aca="false">H11*(1-Assumptions!$B$17)*Assumptions!$B$34*Assumptions!$B$33</f>
        <v>181.614207888251</v>
      </c>
      <c r="I18" s="35" t="n">
        <f aca="false">I11*(1-Assumptions!$B$17)*Assumptions!$B$34*Assumptions!$B$33</f>
        <v>231.840102134864</v>
      </c>
      <c r="J18" s="35" t="n">
        <f aca="false">J11*(1-Assumptions!$B$17)*Assumptions!$B$34*Assumptions!$B$33</f>
        <v>289.967336648116</v>
      </c>
      <c r="K18" s="35" t="n">
        <f aca="false">K11*(1-Assumptions!$B$17)*Assumptions!$B$34*Assumptions!$B$33</f>
        <v>357.115076789588</v>
      </c>
      <c r="L18" s="35" t="n">
        <f aca="false">L11*(1-Assumptions!$B$17)*Assumptions!$B$34*Assumptions!$B$33</f>
        <v>434.56931218597</v>
      </c>
      <c r="M18" s="35" t="n">
        <f aca="false">M11*(1-Assumptions!$B$17)*Assumptions!$B$34*Assumptions!$B$33</f>
        <v>523.805532158422</v>
      </c>
      <c r="N18" s="35" t="n">
        <f aca="false">N11*(1-Assumptions!$B$17)*Assumptions!$B$34*Assumptions!$B$33</f>
        <v>626.514547341183</v>
      </c>
      <c r="O18" s="35" t="n">
        <f aca="false">O11*(1-Assumptions!$B$17)*Assumptions!$B$34*Assumptions!$B$33</f>
        <v>735.107305408671</v>
      </c>
      <c r="P18" s="35" t="n">
        <f aca="false">P11*(1-Assumptions!$B$17)*Assumptions!$B$34*Assumptions!$B$33</f>
        <v>849.764783698874</v>
      </c>
      <c r="Q18" s="35" t="n">
        <f aca="false">Q11*(1-Assumptions!$B$17)*Assumptions!$B$34*Assumptions!$B$33</f>
        <v>970.693451870546</v>
      </c>
      <c r="R18" s="35" t="n">
        <f aca="false">R11*(1-Assumptions!$B$17)*Assumptions!$B$34*Assumptions!$B$33</f>
        <v>1098.12502174605</v>
      </c>
      <c r="S18" s="35" t="n">
        <f aca="false">S11*(1-Assumptions!$B$17)*Assumptions!$B$34*Assumptions!$B$33</f>
        <v>1232.31630281018</v>
      </c>
      <c r="T18" s="35" t="n">
        <f aca="false">T11*(1-Assumptions!$B$17)*Assumptions!$B$34*Assumptions!$B$33</f>
        <v>1373.5491594428</v>
      </c>
      <c r="U18" s="35" t="n">
        <f aca="false">U11*(1-Assumptions!$B$17)*Assumptions!$B$34*Assumptions!$B$33</f>
        <v>1522.13056641427</v>
      </c>
      <c r="V18" s="35" t="n">
        <f aca="false">V11*(1-Assumptions!$B$17)*Assumptions!$B$34*Assumptions!$B$33</f>
        <v>1678.39275959947</v>
      </c>
      <c r="W18" s="35" t="n">
        <f aca="false">W11*(1-Assumptions!$B$17)*Assumptions!$B$34*Assumptions!$B$33</f>
        <v>1842.69347927211</v>
      </c>
      <c r="X18" s="35" t="n">
        <f aca="false">X11*(1-Assumptions!$B$17)*Assumptions!$B$34*Assumptions!$B$33</f>
        <v>2015.41630372621</v>
      </c>
      <c r="Y18" s="35" t="n">
        <f aca="false">Y11*(1-Assumptions!$B$17)*Assumptions!$B$34*Assumptions!$B$33</f>
        <v>2196.97107133905</v>
      </c>
      <c r="Z18" s="35" t="n">
        <f aca="false">Z11*(1-Assumptions!$B$17)*Assumptions!$B$34*Assumptions!$B$33</f>
        <v>2387.79438954066</v>
      </c>
      <c r="AA18" s="35" t="n">
        <f aca="false">AA11*(1-Assumptions!$B$17)*Assumptions!$B$34*Assumptions!$B$33</f>
        <v>2522.54471518139</v>
      </c>
      <c r="AB18" s="35" t="n">
        <f aca="false">AB11*(1-Assumptions!$B$17)*Assumptions!$B$34*Assumptions!$B$33</f>
        <v>2660.3307408442</v>
      </c>
      <c r="AC18" s="35" t="n">
        <f aca="false">AC11*(1-Assumptions!$B$17)*Assumptions!$B$34*Assumptions!$B$33</f>
        <v>2801.41515331019</v>
      </c>
      <c r="AD18" s="35" t="n">
        <f aca="false">AD11*(1-Assumptions!$B$17)*Assumptions!$B$34*Assumptions!$B$33</f>
        <v>2946.06267130489</v>
      </c>
      <c r="AE18" s="35" t="n">
        <f aca="false">AE11*(1-Assumptions!$B$17)*Assumptions!$B$34*Assumptions!$B$33</f>
        <v>3094.54063530764</v>
      </c>
      <c r="AF18" s="35" t="n">
        <f aca="false">AF11*(1-Assumptions!$B$17)*Assumptions!$B$34*Assumptions!$B$33</f>
        <v>3247.11959044146</v>
      </c>
      <c r="AG18" s="35" t="n">
        <f aca="false">AG11*(1-Assumptions!$B$17)*Assumptions!$B$34*Assumptions!$B$33</f>
        <v>3404.07386399735</v>
      </c>
      <c r="AH18" s="35" t="n">
        <f aca="false">AH11*(1-Assumptions!$B$17)*Assumptions!$B$34*Assumptions!$B$33</f>
        <v>3565.68213909918</v>
      </c>
      <c r="AI18" s="35" t="n">
        <f aca="false">AI11*(1-Assumptions!$B$17)*Assumptions!$B$34*Assumptions!$B$33</f>
        <v>3732.22802597257</v>
      </c>
      <c r="AJ18" s="35" t="n">
        <f aca="false">AJ11*(1-Assumptions!$B$17)*Assumptions!$B$34*Assumptions!$B$33</f>
        <v>3904.00063224232</v>
      </c>
      <c r="AK18" s="35" t="n">
        <f aca="false">AK11*(1-Assumptions!$B$17)*Assumptions!$B$34*Assumptions!$B$33</f>
        <v>4081.29513364902</v>
      </c>
      <c r="AL18" s="35" t="n">
        <f aca="false">AL11*(1-Assumptions!$B$17)*Assumptions!$B$34*Assumptions!$B$33</f>
        <v>4264.41334654496</v>
      </c>
    </row>
    <row r="19" customFormat="false" ht="15" hidden="false" customHeight="false" outlineLevel="0" collapsed="false">
      <c r="A19" s="8" t="s">
        <v>338</v>
      </c>
      <c r="B19" s="1"/>
      <c r="C19" s="35" t="n">
        <f aca="false">C8/100*Assumptions!$B$38*Assumptions!$B$37</f>
        <v>116</v>
      </c>
      <c r="D19" s="35" t="n">
        <f aca="false">D8/100*Assumptions!$B$38*Assumptions!$B$37</f>
        <v>238.96</v>
      </c>
      <c r="E19" s="35" t="n">
        <f aca="false">E8/100*Assumptions!$B$38*Assumptions!$B$37</f>
        <v>370.1328</v>
      </c>
      <c r="F19" s="35" t="n">
        <f aca="false">F8/100*Assumptions!$B$38*Assumptions!$B$37</f>
        <v>510.89648</v>
      </c>
      <c r="G19" s="35" t="n">
        <f aca="false">G8/100*Assumptions!$B$38*Assumptions!$B$37</f>
        <v>662.77093696</v>
      </c>
      <c r="H19" s="35" t="n">
        <f aca="false">H8/100*Assumptions!$B$38*Assumptions!$B$37</f>
        <v>827.4363159936</v>
      </c>
      <c r="I19" s="35" t="n">
        <f aca="false">I8/100*Assumptions!$B$38*Assumptions!$B$37</f>
        <v>1006.75356851533</v>
      </c>
      <c r="J19" s="35" t="n">
        <f aca="false">J8/100*Assumptions!$B$38*Assumptions!$B$37</f>
        <v>1202.78739766351</v>
      </c>
      <c r="K19" s="35" t="n">
        <f aca="false">K8/100*Assumptions!$B$38*Assumptions!$B$37</f>
        <v>1417.8318822539</v>
      </c>
      <c r="L19" s="35" t="n">
        <f aca="false">L8/100*Assumptions!$B$38*Assumptions!$B$37</f>
        <v>1654.43910518289</v>
      </c>
      <c r="M19" s="35" t="n">
        <f aca="false">M8/100*Assumptions!$B$38*Assumptions!$B$37</f>
        <v>1915.45115103984</v>
      </c>
      <c r="N19" s="35" t="n">
        <f aca="false">N8/100*Assumptions!$B$38*Assumptions!$B$37</f>
        <v>2204.03588120553</v>
      </c>
      <c r="O19" s="35" t="n">
        <f aca="false">O8/100*Assumptions!$B$38*Assumptions!$B$37</f>
        <v>2491.44599953041</v>
      </c>
      <c r="P19" s="35" t="n">
        <f aca="false">P8/100*Assumptions!$B$38*Assumptions!$B$37</f>
        <v>2778.39760160367</v>
      </c>
      <c r="Q19" s="35" t="n">
        <f aca="false">Q8/100*Assumptions!$B$38*Assumptions!$B$37</f>
        <v>3065.58964203435</v>
      </c>
      <c r="R19" s="35" t="n">
        <f aca="false">R8/100*Assumptions!$B$38*Assumptions!$B$37</f>
        <v>3353.70599590026</v>
      </c>
      <c r="S19" s="35" t="n">
        <f aca="false">S8/100*Assumptions!$B$38*Assumptions!$B$37</f>
        <v>3643.41743782973</v>
      </c>
      <c r="T19" s="35" t="n">
        <f aca="false">T8/100*Assumptions!$B$38*Assumptions!$B$37</f>
        <v>3935.38354531078</v>
      </c>
      <c r="U19" s="35" t="n">
        <f aca="false">U8/100*Assumptions!$B$38*Assumptions!$B$37</f>
        <v>4230.25453249299</v>
      </c>
      <c r="V19" s="35" t="n">
        <f aca="false">V8/100*Assumptions!$B$38*Assumptions!$B$37</f>
        <v>4528.67302044031</v>
      </c>
      <c r="W19" s="35" t="n">
        <f aca="false">W8/100*Assumptions!$B$38*Assumptions!$B$37</f>
        <v>4831.27574950666</v>
      </c>
      <c r="X19" s="35" t="n">
        <f aca="false">X8/100*Assumptions!$B$38*Assumptions!$B$37</f>
        <v>5138.69523924075</v>
      </c>
      <c r="Y19" s="35" t="n">
        <f aca="false">Y8/100*Assumptions!$B$38*Assumptions!$B$37</f>
        <v>5451.56140097897</v>
      </c>
      <c r="Z19" s="35" t="n">
        <f aca="false">Z8/100*Assumptions!$B$38*Assumptions!$B$37</f>
        <v>5770.5031080566</v>
      </c>
      <c r="AA19" s="35" t="n">
        <f aca="false">AA8/100*Assumptions!$B$38*Assumptions!$B$37</f>
        <v>6096.14972835503</v>
      </c>
      <c r="AB19" s="35" t="n">
        <f aca="false">AB8/100*Assumptions!$B$38*Assumptions!$B$37</f>
        <v>6429.13262370682</v>
      </c>
      <c r="AC19" s="35" t="n">
        <f aca="false">AC8/100*Assumptions!$B$38*Assumptions!$B$37</f>
        <v>6770.08662049963</v>
      </c>
      <c r="AD19" s="35" t="n">
        <f aca="false">AD8/100*Assumptions!$B$38*Assumptions!$B$37</f>
        <v>7119.65145565349</v>
      </c>
      <c r="AE19" s="35" t="n">
        <f aca="false">AE8/100*Assumptions!$B$38*Assumptions!$B$37</f>
        <v>7478.47320199346</v>
      </c>
      <c r="AF19" s="35" t="n">
        <f aca="false">AF8/100*Assumptions!$B$38*Assumptions!$B$37</f>
        <v>7847.2056769002</v>
      </c>
      <c r="AG19" s="35" t="n">
        <f aca="false">AG8/100*Assumptions!$B$38*Assumptions!$B$37</f>
        <v>8226.5118379936</v>
      </c>
      <c r="AH19" s="35" t="n">
        <f aca="false">AH8/100*Assumptions!$B$38*Assumptions!$B$37</f>
        <v>8617.06516948968</v>
      </c>
      <c r="AI19" s="35" t="n">
        <f aca="false">AI8/100*Assumptions!$B$38*Assumptions!$B$37</f>
        <v>9019.55106276703</v>
      </c>
      <c r="AJ19" s="35" t="n">
        <f aca="false">AJ8/100*Assumptions!$B$38*Assumptions!$B$37</f>
        <v>9434.66819458561</v>
      </c>
      <c r="AK19" s="35" t="n">
        <f aca="false">AK8/100*Assumptions!$B$38*Assumptions!$B$37</f>
        <v>9863.12990631845</v>
      </c>
      <c r="AL19" s="35" t="n">
        <f aca="false">AL8/100*Assumptions!$B$38*Assumptions!$B$37</f>
        <v>10305.6655874836</v>
      </c>
    </row>
    <row r="20" customFormat="false" ht="15" hidden="false" customHeight="false" outlineLevel="0" collapsed="false">
      <c r="A20" s="8" t="s">
        <v>339</v>
      </c>
      <c r="B20" s="1"/>
      <c r="C20" s="35" t="n">
        <f aca="false">C8/100*Assumptions!$B$39</f>
        <v>60</v>
      </c>
      <c r="D20" s="35" t="n">
        <f aca="false">D8/100*Assumptions!$B$39</f>
        <v>123.6</v>
      </c>
      <c r="E20" s="35" t="n">
        <f aca="false">E8/100*Assumptions!$B$39</f>
        <v>191.448</v>
      </c>
      <c r="F20" s="35" t="n">
        <f aca="false">F8/100*Assumptions!$B$39</f>
        <v>264.2568</v>
      </c>
      <c r="G20" s="35" t="n">
        <f aca="false">G8/100*Assumptions!$B$39</f>
        <v>342.8125536</v>
      </c>
      <c r="H20" s="35" t="n">
        <f aca="false">H8/100*Assumptions!$B$39</f>
        <v>427.984301376</v>
      </c>
      <c r="I20" s="35" t="n">
        <f aca="false">I8/100*Assumptions!$B$39</f>
        <v>520.73460440448</v>
      </c>
      <c r="J20" s="35" t="n">
        <f aca="false">J8/100*Assumptions!$B$39</f>
        <v>622.131412584576</v>
      </c>
      <c r="K20" s="35" t="n">
        <f aca="false">K8/100*Assumptions!$B$39</f>
        <v>733.36131840719</v>
      </c>
      <c r="L20" s="35" t="n">
        <f aca="false">L8/100*Assumptions!$B$39</f>
        <v>855.74436474977</v>
      </c>
      <c r="M20" s="35" t="n">
        <f aca="false">M8/100*Assumptions!$B$39</f>
        <v>990.750595365437</v>
      </c>
      <c r="N20" s="35" t="n">
        <f aca="false">N8/100*Assumptions!$B$39</f>
        <v>1140.01855924424</v>
      </c>
      <c r="O20" s="35" t="n">
        <f aca="false">O8/100*Assumptions!$B$39</f>
        <v>1288.67896527435</v>
      </c>
      <c r="P20" s="35" t="n">
        <f aca="false">P8/100*Assumptions!$B$39</f>
        <v>1437.10220772604</v>
      </c>
      <c r="Q20" s="35" t="n">
        <f aca="false">Q8/100*Assumptions!$B$39</f>
        <v>1585.64981484535</v>
      </c>
      <c r="R20" s="35" t="n">
        <f aca="false">R8/100*Assumptions!$B$39</f>
        <v>1734.67551512082</v>
      </c>
      <c r="S20" s="35" t="n">
        <f aca="false">S8/100*Assumptions!$B$39</f>
        <v>1884.52626094641</v>
      </c>
      <c r="T20" s="35" t="n">
        <f aca="false">T8/100*Assumptions!$B$39</f>
        <v>2035.54321309178</v>
      </c>
      <c r="U20" s="35" t="n">
        <f aca="false">U8/100*Assumptions!$B$39</f>
        <v>2188.06268922051</v>
      </c>
      <c r="V20" s="35" t="n">
        <f aca="false">V8/100*Assumptions!$B$39</f>
        <v>2342.41707953809</v>
      </c>
      <c r="W20" s="35" t="n">
        <f aca="false">W8/100*Assumptions!$B$39</f>
        <v>2498.93573250345</v>
      </c>
      <c r="X20" s="35" t="n">
        <f aca="false">X8/100*Assumptions!$B$39</f>
        <v>2657.94581340039</v>
      </c>
      <c r="Y20" s="35" t="n">
        <f aca="false">Y8/100*Assumptions!$B$39</f>
        <v>2819.7731384374</v>
      </c>
      <c r="Z20" s="35" t="n">
        <f aca="false">Z8/100*Assumptions!$B$39</f>
        <v>2984.74298692583</v>
      </c>
      <c r="AA20" s="35" t="n">
        <f aca="false">AA8/100*Assumptions!$B$39</f>
        <v>3153.18089397674</v>
      </c>
      <c r="AB20" s="35" t="n">
        <f aca="false">AB8/100*Assumptions!$B$39</f>
        <v>3325.41342605525</v>
      </c>
      <c r="AC20" s="35" t="n">
        <f aca="false">AC8/100*Assumptions!$B$39</f>
        <v>3501.76894163774</v>
      </c>
      <c r="AD20" s="35" t="n">
        <f aca="false">AD8/100*Assumptions!$B$39</f>
        <v>3682.57833913111</v>
      </c>
      <c r="AE20" s="35" t="n">
        <f aca="false">AE8/100*Assumptions!$B$39</f>
        <v>3868.17579413455</v>
      </c>
      <c r="AF20" s="35" t="n">
        <f aca="false">AF8/100*Assumptions!$B$39</f>
        <v>4058.89948805183</v>
      </c>
      <c r="AG20" s="35" t="n">
        <f aca="false">AG8/100*Assumptions!$B$39</f>
        <v>4255.09232999669</v>
      </c>
      <c r="AH20" s="35" t="n">
        <f aca="false">AH8/100*Assumptions!$B$39</f>
        <v>4457.10267387397</v>
      </c>
      <c r="AI20" s="35" t="n">
        <f aca="false">AI8/100*Assumptions!$B$39</f>
        <v>4665.28503246571</v>
      </c>
      <c r="AJ20" s="35" t="n">
        <f aca="false">AJ8/100*Assumptions!$B$39</f>
        <v>4880.0007903029</v>
      </c>
      <c r="AK20" s="35" t="n">
        <f aca="false">AK8/100*Assumptions!$B$39</f>
        <v>5101.61891706127</v>
      </c>
      <c r="AL20" s="35" t="n">
        <f aca="false">AL8/100*Assumptions!$B$39</f>
        <v>5330.5166831812</v>
      </c>
    </row>
    <row r="21" customFormat="false" ht="15" hidden="false" customHeight="false" outlineLevel="0" collapsed="false">
      <c r="A21" s="6" t="s">
        <v>60</v>
      </c>
      <c r="B21" s="1"/>
      <c r="C21" s="10" t="n">
        <f aca="false">SUM(C14:C20)</f>
        <v>2620</v>
      </c>
      <c r="D21" s="10" t="n">
        <f aca="false">SUM(D14:D20)</f>
        <v>5717.37773913044</v>
      </c>
      <c r="E21" s="10" t="n">
        <f aca="false">SUM(E14:E20)</f>
        <v>9351.76311652174</v>
      </c>
      <c r="F21" s="10" t="n">
        <f aca="false">SUM(F14:F20)</f>
        <v>13592.8336187826</v>
      </c>
      <c r="G21" s="10" t="n">
        <f aca="false">SUM(G14:G20)</f>
        <v>18521.6157582414</v>
      </c>
      <c r="H21" s="10" t="n">
        <f aca="false">SUM(H14:H20)</f>
        <v>24231.9749302264</v>
      </c>
      <c r="I21" s="10" t="n">
        <f aca="false">SUM(I14:I20)</f>
        <v>30832.318582873</v>
      </c>
      <c r="J21" s="10" t="n">
        <f aca="false">SUM(J14:J20)</f>
        <v>38447.5409697811</v>
      </c>
      <c r="K21" s="10" t="n">
        <f aca="false">SUM(K14:K20)</f>
        <v>47221.241576488</v>
      </c>
      <c r="L21" s="10" t="n">
        <f aca="false">SUM(L14:L20)</f>
        <v>57318.2536346293</v>
      </c>
      <c r="M21" s="10" t="n">
        <f aca="false">SUM(M14:M20)</f>
        <v>68927.5240288731</v>
      </c>
      <c r="N21" s="10" t="n">
        <f aca="false">SUM(N14:N20)</f>
        <v>82265.391435875</v>
      </c>
      <c r="O21" s="10" t="n">
        <f aca="false">SUM(O14:O20)</f>
        <v>96331.1806001341</v>
      </c>
      <c r="P21" s="10" t="n">
        <f aca="false">SUM(P14:P20)</f>
        <v>111148.817156448</v>
      </c>
      <c r="Q21" s="10" t="n">
        <f aca="false">SUM(Q14:Q20)</f>
        <v>126745.355982688</v>
      </c>
      <c r="R21" s="10" t="n">
        <f aca="false">SUM(R14:R20)</f>
        <v>143150.954357239</v>
      </c>
      <c r="S21" s="10" t="n">
        <f aca="false">SUM(S14:S20)</f>
        <v>160398.858062848</v>
      </c>
      <c r="T21" s="10" t="n">
        <f aca="false">SUM(T14:T20)</f>
        <v>178525.399963507</v>
      </c>
      <c r="U21" s="10" t="n">
        <f aca="false">SUM(U14:U20)</f>
        <v>197570.010636295</v>
      </c>
      <c r="V21" s="10" t="n">
        <f aca="false">SUM(V14:V20)</f>
        <v>217575.240692527</v>
      </c>
      <c r="W21" s="10" t="n">
        <f aca="false">SUM(W14:W20)</f>
        <v>238586.794472264</v>
      </c>
      <c r="X21" s="10" t="n">
        <f aca="false">SUM(X14:X20)</f>
        <v>260653.574843569</v>
      </c>
      <c r="Y21" s="10" t="n">
        <f aca="false">SUM(Y14:Y20)</f>
        <v>283827.738882993</v>
      </c>
      <c r="Z21" s="10" t="n">
        <f aca="false">SUM(Z14:Z20)</f>
        <v>308164.764256802</v>
      </c>
      <c r="AA21" s="10" t="n">
        <f aca="false">SUM(AA14:AA20)</f>
        <v>325555.416700118</v>
      </c>
      <c r="AB21" s="10" t="n">
        <f aca="false">SUM(AB14:AB20)</f>
        <v>343337.851528785</v>
      </c>
      <c r="AC21" s="10" t="n">
        <f aca="false">SUM(AC14:AC20)</f>
        <v>361545.970660958</v>
      </c>
      <c r="AD21" s="10" t="n">
        <f aca="false">SUM(AD14:AD20)</f>
        <v>380213.938254157</v>
      </c>
      <c r="AE21" s="10" t="n">
        <f aca="false">SUM(AE14:AE20)</f>
        <v>399376.256825078</v>
      </c>
      <c r="AF21" s="10" t="n">
        <f aca="false">SUM(AF14:AF20)</f>
        <v>419067.842476391</v>
      </c>
      <c r="AG21" s="10" t="n">
        <f aca="false">SUM(AG14:AG20)</f>
        <v>439324.099431058</v>
      </c>
      <c r="AH21" s="10" t="n">
        <f aca="false">SUM(AH14:AH20)</f>
        <v>460180.994068575</v>
      </c>
      <c r="AI21" s="10" t="n">
        <f aca="false">SUM(AI14:AI20)</f>
        <v>481675.128651976</v>
      </c>
      <c r="AJ21" s="10" t="n">
        <f aca="false">SUM(AJ14:AJ20)</f>
        <v>503843.814929473</v>
      </c>
      <c r="AK21" s="10" t="n">
        <f aca="false">SUM(AK14:AK20)</f>
        <v>526725.147790186</v>
      </c>
      <c r="AL21" s="10" t="n">
        <f aca="false">SUM(AL14:AL20)</f>
        <v>550358.079149515</v>
      </c>
    </row>
    <row r="22" customFormat="false" ht="15" hidden="false" customHeight="false" outlineLevel="0" collapsed="false">
      <c r="A22" s="31" t="s">
        <v>62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</row>
    <row r="23" customFormat="false" ht="15" hidden="false" customHeight="false" outlineLevel="0" collapsed="false">
      <c r="A23" s="8" t="s">
        <v>340</v>
      </c>
      <c r="B23" s="1"/>
      <c r="C23" s="35" t="n">
        <f aca="false">C11*(1+Assumptions!$B$18)*Assumptions!$B$19+C12*Assumptions!$B$20</f>
        <v>1440</v>
      </c>
      <c r="D23" s="35" t="n">
        <f aca="false">D11*(1+Assumptions!$B$18)*Assumptions!$B$19+D12*Assumptions!$B$20</f>
        <v>3159.86086956522</v>
      </c>
      <c r="E23" s="35" t="n">
        <f aca="false">E11*(1+Assumptions!$B$18)*Assumptions!$B$19+E12*Assumptions!$B$20</f>
        <v>5194.06747826087</v>
      </c>
      <c r="F23" s="35" t="n">
        <f aca="false">F11*(1+Assumptions!$B$18)*Assumptions!$B$19+F12*Assumptions!$B$20</f>
        <v>7583.0212173913</v>
      </c>
      <c r="G23" s="35" t="n">
        <f aca="false">G11*(1+Assumptions!$B$18)*Assumptions!$B$19+G12*Assumptions!$B$20</f>
        <v>10373.8059698087</v>
      </c>
      <c r="H23" s="35" t="n">
        <f aca="false">H11*(1+Assumptions!$B$18)*Assumptions!$B$19+H12*Assumptions!$B$20</f>
        <v>13621.0655916188</v>
      </c>
      <c r="I23" s="35" t="n">
        <f aca="false">I11*(1+Assumptions!$B$18)*Assumptions!$B$19+I12*Assumptions!$B$20</f>
        <v>17388.0076601148</v>
      </c>
      <c r="J23" s="35" t="n">
        <f aca="false">J11*(1+Assumptions!$B$18)*Assumptions!$B$19+J12*Assumptions!$B$20</f>
        <v>21747.5502486087</v>
      </c>
      <c r="K23" s="35" t="n">
        <f aca="false">K11*(1+Assumptions!$B$18)*Assumptions!$B$19+K12*Assumptions!$B$20</f>
        <v>26783.6307592191</v>
      </c>
      <c r="L23" s="35" t="n">
        <f aca="false">L11*(1+Assumptions!$B$18)*Assumptions!$B$19+L12*Assumptions!$B$20</f>
        <v>32592.6984139478</v>
      </c>
      <c r="M23" s="35" t="n">
        <f aca="false">M11*(1+Assumptions!$B$18)*Assumptions!$B$19+M12*Assumptions!$B$20</f>
        <v>39285.4149118817</v>
      </c>
      <c r="N23" s="35" t="n">
        <f aca="false">N11*(1+Assumptions!$B$18)*Assumptions!$B$19+N12*Assumptions!$B$20</f>
        <v>46988.5910505887</v>
      </c>
      <c r="O23" s="35" t="n">
        <f aca="false">O11*(1+Assumptions!$B$18)*Assumptions!$B$19+O12*Assumptions!$B$20</f>
        <v>55133.0479056503</v>
      </c>
      <c r="P23" s="35" t="n">
        <f aca="false">P11*(1+Assumptions!$B$18)*Assumptions!$B$19+P12*Assumptions!$B$20</f>
        <v>63732.3587774156</v>
      </c>
      <c r="Q23" s="35" t="n">
        <f aca="false">Q11*(1+Assumptions!$B$18)*Assumptions!$B$19+Q12*Assumptions!$B$20</f>
        <v>72802.0088902909</v>
      </c>
      <c r="R23" s="35" t="n">
        <f aca="false">R11*(1+Assumptions!$B$18)*Assumptions!$B$19+R12*Assumptions!$B$20</f>
        <v>82359.3766309538</v>
      </c>
      <c r="S23" s="35" t="n">
        <f aca="false">S11*(1+Assumptions!$B$18)*Assumptions!$B$19+S12*Assumptions!$B$20</f>
        <v>92423.7227107632</v>
      </c>
      <c r="T23" s="35" t="n">
        <f aca="false">T11*(1+Assumptions!$B$18)*Assumptions!$B$19+T12*Assumptions!$B$20</f>
        <v>103016.18695821</v>
      </c>
      <c r="U23" s="35" t="n">
        <f aca="false">U11*(1+Assumptions!$B$18)*Assumptions!$B$19+U12*Assumptions!$B$20</f>
        <v>114159.79248107</v>
      </c>
      <c r="V23" s="35" t="n">
        <f aca="false">V11*(1+Assumptions!$B$18)*Assumptions!$B$19+V12*Assumptions!$B$20</f>
        <v>125879.45696996</v>
      </c>
      <c r="W23" s="35" t="n">
        <f aca="false">W11*(1+Assumptions!$B$18)*Assumptions!$B$19+W12*Assumptions!$B$20</f>
        <v>138202.010945408</v>
      </c>
      <c r="X23" s="35" t="n">
        <f aca="false">X11*(1+Assumptions!$B$18)*Assumptions!$B$19+X12*Assumptions!$B$20</f>
        <v>151156.222779465</v>
      </c>
      <c r="Y23" s="35" t="n">
        <f aca="false">Y11*(1+Assumptions!$B$18)*Assumptions!$B$19+Y12*Assumptions!$B$20</f>
        <v>164772.830350429</v>
      </c>
      <c r="Z23" s="35" t="n">
        <f aca="false">Z11*(1+Assumptions!$B$18)*Assumptions!$B$19+Z12*Assumptions!$B$20</f>
        <v>179084.57921555</v>
      </c>
      <c r="AA23" s="35" t="n">
        <f aca="false">AA11*(1+Assumptions!$B$18)*Assumptions!$B$19+AA12*Assumptions!$B$20</f>
        <v>189190.853638604</v>
      </c>
      <c r="AB23" s="35" t="n">
        <f aca="false">AB11*(1+Assumptions!$B$18)*Assumptions!$B$19+AB12*Assumptions!$B$20</f>
        <v>199524.805563315</v>
      </c>
      <c r="AC23" s="35" t="n">
        <f aca="false">AC11*(1+Assumptions!$B$18)*Assumptions!$B$19+AC12*Assumptions!$B$20</f>
        <v>210106.136498264</v>
      </c>
      <c r="AD23" s="35" t="n">
        <f aca="false">AD11*(1+Assumptions!$B$18)*Assumptions!$B$19+AD12*Assumptions!$B$20</f>
        <v>220954.700347867</v>
      </c>
      <c r="AE23" s="35" t="n">
        <f aca="false">AE11*(1+Assumptions!$B$18)*Assumptions!$B$19+AE12*Assumptions!$B$20</f>
        <v>232090.547648073</v>
      </c>
      <c r="AF23" s="35" t="n">
        <f aca="false">AF11*(1+Assumptions!$B$18)*Assumptions!$B$19+AF12*Assumptions!$B$20</f>
        <v>243533.96928311</v>
      </c>
      <c r="AG23" s="35" t="n">
        <f aca="false">AG11*(1+Assumptions!$B$18)*Assumptions!$B$19+AG12*Assumptions!$B$20</f>
        <v>255305.539799801</v>
      </c>
      <c r="AH23" s="35" t="n">
        <f aca="false">AH11*(1+Assumptions!$B$18)*Assumptions!$B$19+AH12*Assumptions!$B$20</f>
        <v>267426.160432438</v>
      </c>
      <c r="AI23" s="35" t="n">
        <f aca="false">AI11*(1+Assumptions!$B$18)*Assumptions!$B$19+AI12*Assumptions!$B$20</f>
        <v>279917.101947942</v>
      </c>
      <c r="AJ23" s="35" t="n">
        <f aca="false">AJ11*(1+Assumptions!$B$18)*Assumptions!$B$19+AJ12*Assumptions!$B$20</f>
        <v>292800.047418174</v>
      </c>
      <c r="AK23" s="35" t="n">
        <f aca="false">AK11*(1+Assumptions!$B$18)*Assumptions!$B$19+AK12*Assumptions!$B$20</f>
        <v>306097.135023676</v>
      </c>
      <c r="AL23" s="35" t="n">
        <f aca="false">AL11*(1+Assumptions!$B$18)*Assumptions!$B$19+AL12*Assumptions!$B$20</f>
        <v>319831.000990872</v>
      </c>
    </row>
    <row r="24" customFormat="false" ht="15" hidden="false" customHeight="false" outlineLevel="0" collapsed="false">
      <c r="A24" s="8" t="s">
        <v>341</v>
      </c>
      <c r="B24" s="1"/>
      <c r="C24" s="35" t="n">
        <f aca="false">C12*Assumptions!$B$22*Assumptions!$B$23</f>
        <v>100</v>
      </c>
      <c r="D24" s="35" t="n">
        <f aca="false">D12*Assumptions!$B$22*Assumptions!$B$23</f>
        <v>219.434782608696</v>
      </c>
      <c r="E24" s="35" t="n">
        <f aca="false">E12*Assumptions!$B$22*Assumptions!$B$23</f>
        <v>360.699130434783</v>
      </c>
      <c r="F24" s="35" t="n">
        <f aca="false">F12*Assumptions!$B$22*Assumptions!$B$23</f>
        <v>526.598695652174</v>
      </c>
      <c r="G24" s="35" t="n">
        <f aca="false">G12*Assumptions!$B$22*Assumptions!$B$23</f>
        <v>720.403192347826</v>
      </c>
      <c r="H24" s="35" t="n">
        <f aca="false">H12*Assumptions!$B$22*Assumptions!$B$23</f>
        <v>945.907332751305</v>
      </c>
      <c r="I24" s="35" t="n">
        <f aca="false">I12*Assumptions!$B$22*Assumptions!$B$23</f>
        <v>1207.50053195242</v>
      </c>
      <c r="J24" s="35" t="n">
        <f aca="false">J12*Assumptions!$B$22*Assumptions!$B$23</f>
        <v>1510.24654504227</v>
      </c>
      <c r="K24" s="35" t="n">
        <f aca="false">K12*Assumptions!$B$22*Assumptions!$B$23</f>
        <v>1859.97435827911</v>
      </c>
      <c r="L24" s="35" t="n">
        <f aca="false">L12*Assumptions!$B$22*Assumptions!$B$23</f>
        <v>2263.38183430193</v>
      </c>
      <c r="M24" s="35" t="n">
        <f aca="false">M12*Assumptions!$B$22*Assumptions!$B$23</f>
        <v>2728.15381332512</v>
      </c>
      <c r="N24" s="35" t="n">
        <f aca="false">N12*Assumptions!$B$22*Assumptions!$B$23</f>
        <v>3263.09660073533</v>
      </c>
      <c r="O24" s="35" t="n">
        <f aca="false">O12*Assumptions!$B$22*Assumptions!$B$23</f>
        <v>3828.68388233683</v>
      </c>
      <c r="P24" s="35" t="n">
        <f aca="false">P12*Assumptions!$B$22*Assumptions!$B$23</f>
        <v>4425.85824843164</v>
      </c>
      <c r="Q24" s="35" t="n">
        <f aca="false">Q12*Assumptions!$B$22*Assumptions!$B$23</f>
        <v>5055.69506182576</v>
      </c>
      <c r="R24" s="35" t="n">
        <f aca="false">R12*Assumptions!$B$22*Assumptions!$B$23</f>
        <v>5719.40115492735</v>
      </c>
      <c r="S24" s="35" t="n">
        <f aca="false">S12*Assumptions!$B$22*Assumptions!$B$23</f>
        <v>6418.31407713633</v>
      </c>
      <c r="T24" s="35" t="n">
        <f aca="false">T12*Assumptions!$B$22*Assumptions!$B$23</f>
        <v>7153.90187209792</v>
      </c>
      <c r="U24" s="35" t="n">
        <f aca="false">U12*Assumptions!$B$22*Assumptions!$B$23</f>
        <v>7927.76336674099</v>
      </c>
      <c r="V24" s="35" t="n">
        <f aca="false">V12*Assumptions!$B$22*Assumptions!$B$23</f>
        <v>8741.62895624722</v>
      </c>
      <c r="W24" s="35" t="n">
        <f aca="false">W12*Assumptions!$B$22*Assumptions!$B$23</f>
        <v>9597.36187120889</v>
      </c>
      <c r="X24" s="35" t="n">
        <f aca="false">X12*Assumptions!$B$22*Assumptions!$B$23</f>
        <v>10496.9599152407</v>
      </c>
      <c r="Y24" s="35" t="n">
        <f aca="false">Y12*Assumptions!$B$22*Assumptions!$B$23</f>
        <v>11442.5576632242</v>
      </c>
      <c r="Z24" s="35" t="n">
        <f aca="false">Z12*Assumptions!$B$22*Assumptions!$B$23</f>
        <v>12436.4291121909</v>
      </c>
      <c r="AA24" s="35" t="n">
        <f aca="false">AA12*Assumptions!$B$22*Assumptions!$B$23</f>
        <v>13138.2537249031</v>
      </c>
      <c r="AB24" s="35" t="n">
        <f aca="false">AB12*Assumptions!$B$22*Assumptions!$B$23</f>
        <v>13855.8892752302</v>
      </c>
      <c r="AC24" s="35" t="n">
        <f aca="false">AC12*Assumptions!$B$22*Assumptions!$B$23</f>
        <v>14590.7039234906</v>
      </c>
      <c r="AD24" s="35" t="n">
        <f aca="false">AD12*Assumptions!$B$22*Assumptions!$B$23</f>
        <v>15344.0764130463</v>
      </c>
      <c r="AE24" s="35" t="n">
        <f aca="false">AE12*Assumptions!$B$22*Assumptions!$B$23</f>
        <v>16117.3991422273</v>
      </c>
      <c r="AF24" s="35" t="n">
        <f aca="false">AF12*Assumptions!$B$22*Assumptions!$B$23</f>
        <v>16912.081200216</v>
      </c>
      <c r="AG24" s="35" t="n">
        <f aca="false">AG12*Assumptions!$B$22*Assumptions!$B$23</f>
        <v>17729.5513749862</v>
      </c>
      <c r="AH24" s="35" t="n">
        <f aca="false">AH12*Assumptions!$B$22*Assumptions!$B$23</f>
        <v>18571.2611411416</v>
      </c>
      <c r="AI24" s="35" t="n">
        <f aca="false">AI12*Assumptions!$B$22*Assumptions!$B$23</f>
        <v>19438.6876352738</v>
      </c>
      <c r="AJ24" s="35" t="n">
        <f aca="false">AJ12*Assumptions!$B$22*Assumptions!$B$23</f>
        <v>20333.3366262621</v>
      </c>
      <c r="AK24" s="35" t="n">
        <f aca="false">AK12*Assumptions!$B$22*Assumptions!$B$23</f>
        <v>21256.7454877553</v>
      </c>
      <c r="AL24" s="35" t="n">
        <f aca="false">AL12*Assumptions!$B$22*Assumptions!$B$23</f>
        <v>22210.4861799217</v>
      </c>
    </row>
    <row r="25" customFormat="false" ht="15" hidden="false" customHeight="false" outlineLevel="0" collapsed="false">
      <c r="A25" s="8" t="s">
        <v>342</v>
      </c>
      <c r="B25" s="1"/>
      <c r="C25" s="35" t="n">
        <f aca="false">C11*Assumptions!$B$24*Assumptions!$B$25</f>
        <v>30</v>
      </c>
      <c r="D25" s="35" t="n">
        <f aca="false">D11*Assumptions!$B$24*Assumptions!$B$25</f>
        <v>65.8304347826087</v>
      </c>
      <c r="E25" s="35" t="n">
        <f aca="false">E11*Assumptions!$B$24*Assumptions!$B$25</f>
        <v>108.209739130435</v>
      </c>
      <c r="F25" s="35" t="n">
        <f aca="false">F11*Assumptions!$B$24*Assumptions!$B$25</f>
        <v>157.979608695652</v>
      </c>
      <c r="G25" s="35" t="n">
        <f aca="false">G11*Assumptions!$B$24*Assumptions!$B$25</f>
        <v>216.120957704348</v>
      </c>
      <c r="H25" s="35" t="n">
        <f aca="false">H11*Assumptions!$B$24*Assumptions!$B$25</f>
        <v>283.772199825391</v>
      </c>
      <c r="I25" s="35" t="n">
        <f aca="false">I11*Assumptions!$B$24*Assumptions!$B$25</f>
        <v>362.250159585725</v>
      </c>
      <c r="J25" s="35" t="n">
        <f aca="false">J11*Assumptions!$B$24*Assumptions!$B$25</f>
        <v>453.073963512681</v>
      </c>
      <c r="K25" s="35" t="n">
        <f aca="false">K11*Assumptions!$B$24*Assumptions!$B$25</f>
        <v>557.992307483732</v>
      </c>
      <c r="L25" s="35" t="n">
        <f aca="false">L11*Assumptions!$B$24*Assumptions!$B$25</f>
        <v>679.014550290579</v>
      </c>
      <c r="M25" s="35" t="n">
        <f aca="false">M11*Assumptions!$B$24*Assumptions!$B$25</f>
        <v>818.446143997535</v>
      </c>
      <c r="N25" s="35" t="n">
        <f aca="false">N11*Assumptions!$B$24*Assumptions!$B$25</f>
        <v>978.928980220599</v>
      </c>
      <c r="O25" s="35" t="n">
        <f aca="false">O11*Assumptions!$B$24*Assumptions!$B$25</f>
        <v>1148.60516470105</v>
      </c>
      <c r="P25" s="35" t="n">
        <f aca="false">P11*Assumptions!$B$24*Assumptions!$B$25</f>
        <v>1327.75747452949</v>
      </c>
      <c r="Q25" s="35" t="n">
        <f aca="false">Q11*Assumptions!$B$24*Assumptions!$B$25</f>
        <v>1516.70851854773</v>
      </c>
      <c r="R25" s="35" t="n">
        <f aca="false">R11*Assumptions!$B$24*Assumptions!$B$25</f>
        <v>1715.8203464782</v>
      </c>
      <c r="S25" s="35" t="n">
        <f aca="false">S11*Assumptions!$B$24*Assumptions!$B$25</f>
        <v>1925.4942231409</v>
      </c>
      <c r="T25" s="35" t="n">
        <f aca="false">T11*Assumptions!$B$24*Assumptions!$B$25</f>
        <v>2146.17056162938</v>
      </c>
      <c r="U25" s="35" t="n">
        <f aca="false">U11*Assumptions!$B$24*Assumptions!$B$25</f>
        <v>2378.3290100223</v>
      </c>
      <c r="V25" s="35" t="n">
        <f aca="false">V11*Assumptions!$B$24*Assumptions!$B$25</f>
        <v>2622.48868687417</v>
      </c>
      <c r="W25" s="35" t="n">
        <f aca="false">W11*Assumptions!$B$24*Assumptions!$B$25</f>
        <v>2879.20856136267</v>
      </c>
      <c r="X25" s="35" t="n">
        <f aca="false">X11*Assumptions!$B$24*Assumptions!$B$25</f>
        <v>3149.0879745722</v>
      </c>
      <c r="Y25" s="35" t="n">
        <f aca="false">Y11*Assumptions!$B$24*Assumptions!$B$25</f>
        <v>3432.76729896726</v>
      </c>
      <c r="Z25" s="35" t="n">
        <f aca="false">Z11*Assumptions!$B$24*Assumptions!$B$25</f>
        <v>3730.92873365728</v>
      </c>
      <c r="AA25" s="35" t="n">
        <f aca="false">AA11*Assumptions!$B$24*Assumptions!$B$25</f>
        <v>3941.47611747092</v>
      </c>
      <c r="AB25" s="35" t="n">
        <f aca="false">AB11*Assumptions!$B$24*Assumptions!$B$25</f>
        <v>4156.76678256907</v>
      </c>
      <c r="AC25" s="35" t="n">
        <f aca="false">AC11*Assumptions!$B$24*Assumptions!$B$25</f>
        <v>4377.21117704718</v>
      </c>
      <c r="AD25" s="35" t="n">
        <f aca="false">AD11*Assumptions!$B$24*Assumptions!$B$25</f>
        <v>4603.22292391389</v>
      </c>
      <c r="AE25" s="35" t="n">
        <f aca="false">AE11*Assumptions!$B$24*Assumptions!$B$25</f>
        <v>4835.21974266819</v>
      </c>
      <c r="AF25" s="35" t="n">
        <f aca="false">AF11*Assumptions!$B$24*Assumptions!$B$25</f>
        <v>5073.62436006479</v>
      </c>
      <c r="AG25" s="35" t="n">
        <f aca="false">AG11*Assumptions!$B$24*Assumptions!$B$25</f>
        <v>5318.86541249586</v>
      </c>
      <c r="AH25" s="35" t="n">
        <f aca="false">AH11*Assumptions!$B$24*Assumptions!$B$25</f>
        <v>5571.37834234247</v>
      </c>
      <c r="AI25" s="35" t="n">
        <f aca="false">AI11*Assumptions!$B$24*Assumptions!$B$25</f>
        <v>5831.60629058213</v>
      </c>
      <c r="AJ25" s="35" t="n">
        <f aca="false">AJ11*Assumptions!$B$24*Assumptions!$B$25</f>
        <v>6100.00098787863</v>
      </c>
      <c r="AK25" s="35" t="n">
        <f aca="false">AK11*Assumptions!$B$24*Assumptions!$B$25</f>
        <v>6377.02364632659</v>
      </c>
      <c r="AL25" s="35" t="n">
        <f aca="false">AL11*Assumptions!$B$24*Assumptions!$B$25</f>
        <v>6663.1458539765</v>
      </c>
    </row>
    <row r="26" customFormat="false" ht="15" hidden="false" customHeight="false" outlineLevel="0" collapsed="false">
      <c r="A26" s="8" t="s">
        <v>343</v>
      </c>
      <c r="B26" s="1"/>
      <c r="C26" s="35" t="n">
        <f aca="false">C10*Assumptions!$B$42</f>
        <v>48</v>
      </c>
      <c r="D26" s="35" t="n">
        <f aca="false">D10*Assumptions!$B$42</f>
        <v>105.328695652174</v>
      </c>
      <c r="E26" s="35" t="n">
        <f aca="false">E10*Assumptions!$B$42</f>
        <v>173.135582608696</v>
      </c>
      <c r="F26" s="35" t="n">
        <f aca="false">F10*Assumptions!$B$42</f>
        <v>252.767373913043</v>
      </c>
      <c r="G26" s="35" t="n">
        <f aca="false">G10*Assumptions!$B$42</f>
        <v>345.793532326957</v>
      </c>
      <c r="H26" s="35" t="n">
        <f aca="false">H10*Assumptions!$B$42</f>
        <v>454.035519720626</v>
      </c>
      <c r="I26" s="35" t="n">
        <f aca="false">I10*Assumptions!$B$42</f>
        <v>579.600255337161</v>
      </c>
      <c r="J26" s="35" t="n">
        <f aca="false">J10*Assumptions!$B$42</f>
        <v>724.918341620289</v>
      </c>
      <c r="K26" s="35" t="n">
        <f aca="false">K10*Assumptions!$B$42</f>
        <v>892.787691973971</v>
      </c>
      <c r="L26" s="35" t="n">
        <f aca="false">L10*Assumptions!$B$42</f>
        <v>1086.42328046493</v>
      </c>
      <c r="M26" s="35" t="n">
        <f aca="false">M10*Assumptions!$B$42</f>
        <v>1309.51383039606</v>
      </c>
      <c r="N26" s="35" t="n">
        <f aca="false">N10*Assumptions!$B$42</f>
        <v>1566.28636835296</v>
      </c>
      <c r="O26" s="35" t="n">
        <f aca="false">O10*Assumptions!$B$42</f>
        <v>1837.76826352168</v>
      </c>
      <c r="P26" s="35" t="n">
        <f aca="false">P10*Assumptions!$B$42</f>
        <v>2124.41195924719</v>
      </c>
      <c r="Q26" s="35" t="n">
        <f aca="false">Q10*Assumptions!$B$42</f>
        <v>2426.73362967636</v>
      </c>
      <c r="R26" s="35" t="n">
        <f aca="false">R10*Assumptions!$B$42</f>
        <v>2745.31255436513</v>
      </c>
      <c r="S26" s="35" t="n">
        <f aca="false">S10*Assumptions!$B$42</f>
        <v>3080.79075702544</v>
      </c>
      <c r="T26" s="35" t="n">
        <f aca="false">T10*Assumptions!$B$42</f>
        <v>3433.872898607</v>
      </c>
      <c r="U26" s="35" t="n">
        <f aca="false">U10*Assumptions!$B$42</f>
        <v>3805.32641603568</v>
      </c>
      <c r="V26" s="35" t="n">
        <f aca="false">V10*Assumptions!$B$42</f>
        <v>4195.98189899867</v>
      </c>
      <c r="W26" s="35" t="n">
        <f aca="false">W10*Assumptions!$B$42</f>
        <v>4606.73369818027</v>
      </c>
      <c r="X26" s="35" t="n">
        <f aca="false">X10*Assumptions!$B$42</f>
        <v>5038.54075931552</v>
      </c>
      <c r="Y26" s="35" t="n">
        <f aca="false">Y10*Assumptions!$B$42</f>
        <v>5492.42767834762</v>
      </c>
      <c r="Z26" s="35" t="n">
        <f aca="false">Z10*Assumptions!$B$42</f>
        <v>5969.48597385165</v>
      </c>
      <c r="AA26" s="35" t="n">
        <f aca="false">AA10*Assumptions!$B$42</f>
        <v>6306.36178795348</v>
      </c>
      <c r="AB26" s="35" t="n">
        <f aca="false">AB10*Assumptions!$B$42</f>
        <v>6650.82685211051</v>
      </c>
      <c r="AC26" s="35" t="n">
        <f aca="false">AC10*Assumptions!$B$42</f>
        <v>7003.53788327548</v>
      </c>
      <c r="AD26" s="35" t="n">
        <f aca="false">AD10*Assumptions!$B$42</f>
        <v>7365.15667826223</v>
      </c>
      <c r="AE26" s="35" t="n">
        <f aca="false">AE10*Assumptions!$B$42</f>
        <v>7736.3515882691</v>
      </c>
      <c r="AF26" s="35" t="n">
        <f aca="false">AF10*Assumptions!$B$42</f>
        <v>8117.79897610366</v>
      </c>
      <c r="AG26" s="35" t="n">
        <f aca="false">AG10*Assumptions!$B$42</f>
        <v>8510.18465999338</v>
      </c>
      <c r="AH26" s="35" t="n">
        <f aca="false">AH10*Assumptions!$B$42</f>
        <v>8914.20534774795</v>
      </c>
      <c r="AI26" s="35" t="n">
        <f aca="false">AI10*Assumptions!$B$42</f>
        <v>9330.57006493141</v>
      </c>
      <c r="AJ26" s="35" t="n">
        <f aca="false">AJ10*Assumptions!$B$42</f>
        <v>9760.0015806058</v>
      </c>
      <c r="AK26" s="35" t="n">
        <f aca="false">AK10*Assumptions!$B$42</f>
        <v>10203.2378341225</v>
      </c>
      <c r="AL26" s="35" t="n">
        <f aca="false">AL10*Assumptions!$B$42</f>
        <v>10661.0333663624</v>
      </c>
    </row>
    <row r="27" customFormat="false" ht="15" hidden="false" customHeight="false" outlineLevel="0" collapsed="false">
      <c r="A27" s="8" t="s">
        <v>344</v>
      </c>
      <c r="B27" s="1"/>
      <c r="C27" s="35" t="n">
        <f aca="false">C8*Assumptions!$B$43</f>
        <v>60</v>
      </c>
      <c r="D27" s="35" t="n">
        <f aca="false">D8*Assumptions!$B$43</f>
        <v>123.6</v>
      </c>
      <c r="E27" s="35" t="n">
        <f aca="false">E8*Assumptions!$B$43</f>
        <v>191.448</v>
      </c>
      <c r="F27" s="35" t="n">
        <f aca="false">F8*Assumptions!$B$43</f>
        <v>264.2568</v>
      </c>
      <c r="G27" s="35" t="n">
        <f aca="false">G8*Assumptions!$B$43</f>
        <v>342.8125536</v>
      </c>
      <c r="H27" s="35" t="n">
        <f aca="false">H8*Assumptions!$B$43</f>
        <v>427.984301376</v>
      </c>
      <c r="I27" s="35" t="n">
        <f aca="false">I8*Assumptions!$B$43</f>
        <v>520.73460440448</v>
      </c>
      <c r="J27" s="35" t="n">
        <f aca="false">J8*Assumptions!$B$43</f>
        <v>622.131412584576</v>
      </c>
      <c r="K27" s="35" t="n">
        <f aca="false">K8*Assumptions!$B$43</f>
        <v>733.36131840719</v>
      </c>
      <c r="L27" s="35" t="n">
        <f aca="false">L8*Assumptions!$B$43</f>
        <v>855.74436474977</v>
      </c>
      <c r="M27" s="35" t="n">
        <f aca="false">M8*Assumptions!$B$43</f>
        <v>990.750595365437</v>
      </c>
      <c r="N27" s="35" t="n">
        <f aca="false">N8*Assumptions!$B$43</f>
        <v>1140.01855924424</v>
      </c>
      <c r="O27" s="35" t="n">
        <f aca="false">O8*Assumptions!$B$43</f>
        <v>1288.67896527435</v>
      </c>
      <c r="P27" s="35" t="n">
        <f aca="false">P8*Assumptions!$B$43</f>
        <v>1437.10220772604</v>
      </c>
      <c r="Q27" s="35" t="n">
        <f aca="false">Q8*Assumptions!$B$43</f>
        <v>1585.64981484535</v>
      </c>
      <c r="R27" s="35" t="n">
        <f aca="false">R8*Assumptions!$B$43</f>
        <v>1734.67551512082</v>
      </c>
      <c r="S27" s="35" t="n">
        <f aca="false">S8*Assumptions!$B$43</f>
        <v>1884.52626094641</v>
      </c>
      <c r="T27" s="35" t="n">
        <f aca="false">T8*Assumptions!$B$43</f>
        <v>2035.54321309178</v>
      </c>
      <c r="U27" s="35" t="n">
        <f aca="false">U8*Assumptions!$B$43</f>
        <v>2188.06268922051</v>
      </c>
      <c r="V27" s="35" t="n">
        <f aca="false">V8*Assumptions!$B$43</f>
        <v>2342.41707953809</v>
      </c>
      <c r="W27" s="35" t="n">
        <f aca="false">W8*Assumptions!$B$43</f>
        <v>2498.93573250345</v>
      </c>
      <c r="X27" s="35" t="n">
        <f aca="false">X8*Assumptions!$B$43</f>
        <v>2657.94581340039</v>
      </c>
      <c r="Y27" s="35" t="n">
        <f aca="false">Y8*Assumptions!$B$43</f>
        <v>2819.7731384374</v>
      </c>
      <c r="Z27" s="35" t="n">
        <f aca="false">Z8*Assumptions!$B$43</f>
        <v>2984.74298692583</v>
      </c>
      <c r="AA27" s="35" t="n">
        <f aca="false">AA8*Assumptions!$B$43</f>
        <v>3153.18089397674</v>
      </c>
      <c r="AB27" s="35" t="n">
        <f aca="false">AB8*Assumptions!$B$43</f>
        <v>3325.41342605525</v>
      </c>
      <c r="AC27" s="35" t="n">
        <f aca="false">AC8*Assumptions!$B$43</f>
        <v>3501.76894163774</v>
      </c>
      <c r="AD27" s="35" t="n">
        <f aca="false">AD8*Assumptions!$B$43</f>
        <v>3682.57833913111</v>
      </c>
      <c r="AE27" s="35" t="n">
        <f aca="false">AE8*Assumptions!$B$43</f>
        <v>3868.17579413455</v>
      </c>
      <c r="AF27" s="35" t="n">
        <f aca="false">AF8*Assumptions!$B$43</f>
        <v>4058.89948805183</v>
      </c>
      <c r="AG27" s="35" t="n">
        <f aca="false">AG8*Assumptions!$B$43</f>
        <v>4255.09232999669</v>
      </c>
      <c r="AH27" s="35" t="n">
        <f aca="false">AH8*Assumptions!$B$43</f>
        <v>4457.10267387397</v>
      </c>
      <c r="AI27" s="35" t="n">
        <f aca="false">AI8*Assumptions!$B$43</f>
        <v>4665.28503246571</v>
      </c>
      <c r="AJ27" s="35" t="n">
        <f aca="false">AJ8*Assumptions!$B$43</f>
        <v>4880.0007903029</v>
      </c>
      <c r="AK27" s="35" t="n">
        <f aca="false">AK8*Assumptions!$B$43</f>
        <v>5101.61891706127</v>
      </c>
      <c r="AL27" s="35" t="n">
        <f aca="false">AL8*Assumptions!$B$43</f>
        <v>5330.5166831812</v>
      </c>
    </row>
    <row r="28" customFormat="false" ht="15" hidden="false" customHeight="false" outlineLevel="0" collapsed="false">
      <c r="A28" s="8" t="s">
        <v>345</v>
      </c>
      <c r="B28" s="1"/>
      <c r="C28" s="35" t="n">
        <f aca="false">C8*Assumptions!$B$44</f>
        <v>80</v>
      </c>
      <c r="D28" s="35" t="n">
        <f aca="false">D8*Assumptions!$B$44</f>
        <v>164.8</v>
      </c>
      <c r="E28" s="35" t="n">
        <f aca="false">E8*Assumptions!$B$44</f>
        <v>255.264</v>
      </c>
      <c r="F28" s="35" t="n">
        <f aca="false">F8*Assumptions!$B$44</f>
        <v>352.3424</v>
      </c>
      <c r="G28" s="35" t="n">
        <f aca="false">G8*Assumptions!$B$44</f>
        <v>457.0834048</v>
      </c>
      <c r="H28" s="35" t="n">
        <f aca="false">H8*Assumptions!$B$44</f>
        <v>570.645735168</v>
      </c>
      <c r="I28" s="35" t="n">
        <f aca="false">I8*Assumptions!$B$44</f>
        <v>694.31280587264</v>
      </c>
      <c r="J28" s="35" t="n">
        <f aca="false">J8*Assumptions!$B$44</f>
        <v>829.508550112768</v>
      </c>
      <c r="K28" s="35" t="n">
        <f aca="false">K8*Assumptions!$B$44</f>
        <v>977.815091209587</v>
      </c>
      <c r="L28" s="35" t="n">
        <f aca="false">L8*Assumptions!$B$44</f>
        <v>1140.99248633303</v>
      </c>
      <c r="M28" s="35" t="n">
        <f aca="false">M8*Assumptions!$B$44</f>
        <v>1321.00079382058</v>
      </c>
      <c r="N28" s="35" t="n">
        <f aca="false">N8*Assumptions!$B$44</f>
        <v>1520.02474565899</v>
      </c>
      <c r="O28" s="35" t="n">
        <f aca="false">O8*Assumptions!$B$44</f>
        <v>1718.2386203658</v>
      </c>
      <c r="P28" s="35" t="n">
        <f aca="false">P8*Assumptions!$B$44</f>
        <v>1916.13627696805</v>
      </c>
      <c r="Q28" s="35" t="n">
        <f aca="false">Q8*Assumptions!$B$44</f>
        <v>2114.19975312714</v>
      </c>
      <c r="R28" s="35" t="n">
        <f aca="false">R8*Assumptions!$B$44</f>
        <v>2312.90068682776</v>
      </c>
      <c r="S28" s="35" t="n">
        <f aca="false">S8*Assumptions!$B$44</f>
        <v>2512.70168126188</v>
      </c>
      <c r="T28" s="35" t="n">
        <f aca="false">T8*Assumptions!$B$44</f>
        <v>2714.05761745571</v>
      </c>
      <c r="U28" s="35" t="n">
        <f aca="false">U8*Assumptions!$B$44</f>
        <v>2917.41691896068</v>
      </c>
      <c r="V28" s="35" t="n">
        <f aca="false">V8*Assumptions!$B$44</f>
        <v>3123.22277271745</v>
      </c>
      <c r="W28" s="35" t="n">
        <f aca="false">W8*Assumptions!$B$44</f>
        <v>3331.9143100046</v>
      </c>
      <c r="X28" s="35" t="n">
        <f aca="false">X8*Assumptions!$B$44</f>
        <v>3543.92775120052</v>
      </c>
      <c r="Y28" s="35" t="n">
        <f aca="false">Y8*Assumptions!$B$44</f>
        <v>3759.69751791653</v>
      </c>
      <c r="Z28" s="35" t="n">
        <f aca="false">Z8*Assumptions!$B$44</f>
        <v>3979.6573159011</v>
      </c>
      <c r="AA28" s="35" t="n">
        <f aca="false">AA8*Assumptions!$B$44</f>
        <v>4204.24119196898</v>
      </c>
      <c r="AB28" s="35" t="n">
        <f aca="false">AB8*Assumptions!$B$44</f>
        <v>4433.88456807367</v>
      </c>
      <c r="AC28" s="35" t="n">
        <f aca="false">AC8*Assumptions!$B$44</f>
        <v>4669.02525551699</v>
      </c>
      <c r="AD28" s="35" t="n">
        <f aca="false">AD8*Assumptions!$B$44</f>
        <v>4910.10445217482</v>
      </c>
      <c r="AE28" s="35" t="n">
        <f aca="false">AE8*Assumptions!$B$44</f>
        <v>5157.56772551273</v>
      </c>
      <c r="AF28" s="35" t="n">
        <f aca="false">AF8*Assumptions!$B$44</f>
        <v>5411.86598406911</v>
      </c>
      <c r="AG28" s="35" t="n">
        <f aca="false">AG8*Assumptions!$B$44</f>
        <v>5673.45643999558</v>
      </c>
      <c r="AH28" s="35" t="n">
        <f aca="false">AH8*Assumptions!$B$44</f>
        <v>5942.8035651653</v>
      </c>
      <c r="AI28" s="35" t="n">
        <f aca="false">AI8*Assumptions!$B$44</f>
        <v>6220.38004328761</v>
      </c>
      <c r="AJ28" s="35" t="n">
        <f aca="false">AJ8*Assumptions!$B$44</f>
        <v>6506.66772040387</v>
      </c>
      <c r="AK28" s="35" t="n">
        <f aca="false">AK8*Assumptions!$B$44</f>
        <v>6802.15855608169</v>
      </c>
      <c r="AL28" s="35" t="n">
        <f aca="false">AL8*Assumptions!$B$44</f>
        <v>7107.35557757493</v>
      </c>
    </row>
    <row r="29" customFormat="false" ht="15" hidden="false" customHeight="false" outlineLevel="0" collapsed="false">
      <c r="A29" s="8" t="s">
        <v>346</v>
      </c>
      <c r="B29" s="1"/>
      <c r="C29" s="35" t="n">
        <f aca="false">C7*Assumptions!$B$45</f>
        <v>100</v>
      </c>
      <c r="D29" s="35" t="n">
        <f aca="false">D7*Assumptions!$B$45</f>
        <v>112</v>
      </c>
      <c r="E29" s="35" t="n">
        <f aca="false">E7*Assumptions!$B$45</f>
        <v>125.44</v>
      </c>
      <c r="F29" s="35" t="n">
        <f aca="false">F7*Assumptions!$B$45</f>
        <v>140.4928</v>
      </c>
      <c r="G29" s="35" t="n">
        <f aca="false">G7*Assumptions!$B$45</f>
        <v>157.351936</v>
      </c>
      <c r="H29" s="35" t="n">
        <f aca="false">H7*Assumptions!$B$45</f>
        <v>176.23416832</v>
      </c>
      <c r="I29" s="35" t="n">
        <f aca="false">I7*Assumptions!$B$45</f>
        <v>197.3822685184</v>
      </c>
      <c r="J29" s="35" t="n">
        <f aca="false">J7*Assumptions!$B$45</f>
        <v>221.068140740608</v>
      </c>
      <c r="K29" s="35" t="n">
        <f aca="false">K7*Assumptions!$B$45</f>
        <v>247.596317629481</v>
      </c>
      <c r="L29" s="35" t="n">
        <f aca="false">L7*Assumptions!$B$45</f>
        <v>277.307875745019</v>
      </c>
      <c r="M29" s="35" t="n">
        <f aca="false">M7*Assumptions!$B$45</f>
        <v>310.584820834421</v>
      </c>
      <c r="N29" s="35" t="n">
        <f aca="false">N7*Assumptions!$B$45</f>
        <v>347.854999334552</v>
      </c>
      <c r="O29" s="35" t="n">
        <f aca="false">O7*Assumptions!$B$45</f>
        <v>361.769199307934</v>
      </c>
      <c r="P29" s="35" t="n">
        <f aca="false">P7*Assumptions!$B$45</f>
        <v>376.239967280251</v>
      </c>
      <c r="Q29" s="35" t="n">
        <f aca="false">Q7*Assumptions!$B$45</f>
        <v>391.289565971461</v>
      </c>
      <c r="R29" s="35" t="n">
        <f aca="false">R7*Assumptions!$B$45</f>
        <v>406.94114861032</v>
      </c>
      <c r="S29" s="35" t="n">
        <f aca="false">S7*Assumptions!$B$45</f>
        <v>423.218794554733</v>
      </c>
      <c r="T29" s="35" t="n">
        <f aca="false">T7*Assumptions!$B$45</f>
        <v>440.147546336922</v>
      </c>
      <c r="U29" s="35" t="n">
        <f aca="false">U7*Assumptions!$B$45</f>
        <v>457.753448190399</v>
      </c>
      <c r="V29" s="35" t="n">
        <f aca="false">V7*Assumptions!$B$45</f>
        <v>476.063586118015</v>
      </c>
      <c r="W29" s="35" t="n">
        <f aca="false">W7*Assumptions!$B$45</f>
        <v>495.106129562735</v>
      </c>
      <c r="X29" s="35" t="n">
        <f aca="false">X7*Assumptions!$B$45</f>
        <v>514.910374745245</v>
      </c>
      <c r="Y29" s="35" t="n">
        <f aca="false">Y7*Assumptions!$B$45</f>
        <v>535.506789735055</v>
      </c>
      <c r="Z29" s="35" t="n">
        <f aca="false">Z7*Assumptions!$B$45</f>
        <v>556.927061324457</v>
      </c>
      <c r="AA29" s="35" t="n">
        <f aca="false">AA7*Assumptions!$B$45</f>
        <v>579.204143777435</v>
      </c>
      <c r="AB29" s="35" t="n">
        <f aca="false">AB7*Assumptions!$B$45</f>
        <v>602.372309528533</v>
      </c>
      <c r="AC29" s="35" t="n">
        <f aca="false">AC7*Assumptions!$B$45</f>
        <v>626.467201909674</v>
      </c>
      <c r="AD29" s="35" t="n">
        <f aca="false">AD7*Assumptions!$B$45</f>
        <v>651.525889986061</v>
      </c>
      <c r="AE29" s="35" t="n">
        <f aca="false">AE7*Assumptions!$B$45</f>
        <v>677.586925585503</v>
      </c>
      <c r="AF29" s="35" t="n">
        <f aca="false">AF7*Assumptions!$B$45</f>
        <v>704.690402608924</v>
      </c>
      <c r="AG29" s="35" t="n">
        <f aca="false">AG7*Assumptions!$B$45</f>
        <v>732.87801871328</v>
      </c>
      <c r="AH29" s="35" t="n">
        <f aca="false">AH7*Assumptions!$B$45</f>
        <v>762.193139461812</v>
      </c>
      <c r="AI29" s="35" t="n">
        <f aca="false">AI7*Assumptions!$B$45</f>
        <v>792.680865040284</v>
      </c>
      <c r="AJ29" s="35" t="n">
        <f aca="false">AJ7*Assumptions!$B$45</f>
        <v>824.388099641896</v>
      </c>
      <c r="AK29" s="35" t="n">
        <f aca="false">AK7*Assumptions!$B$45</f>
        <v>857.363623627571</v>
      </c>
      <c r="AL29" s="35" t="n">
        <f aca="false">AL7*Assumptions!$B$45</f>
        <v>891.658168572674</v>
      </c>
    </row>
    <row r="30" customFormat="false" ht="15" hidden="false" customHeight="false" outlineLevel="0" collapsed="false">
      <c r="A30" s="8" t="s">
        <v>347</v>
      </c>
      <c r="B30" s="1"/>
      <c r="C30" s="35" t="n">
        <f aca="false">C10*Assumptions!$B$46</f>
        <v>24</v>
      </c>
      <c r="D30" s="35" t="n">
        <f aca="false">D10*Assumptions!$B$46</f>
        <v>52.664347826087</v>
      </c>
      <c r="E30" s="35" t="n">
        <f aca="false">E10*Assumptions!$B$46</f>
        <v>86.5677913043478</v>
      </c>
      <c r="F30" s="35" t="n">
        <f aca="false">F10*Assumptions!$B$46</f>
        <v>126.383686956522</v>
      </c>
      <c r="G30" s="35" t="n">
        <f aca="false">G10*Assumptions!$B$46</f>
        <v>172.896766163478</v>
      </c>
      <c r="H30" s="35" t="n">
        <f aca="false">H10*Assumptions!$B$46</f>
        <v>227.017759860313</v>
      </c>
      <c r="I30" s="35" t="n">
        <f aca="false">I10*Assumptions!$B$46</f>
        <v>289.80012766858</v>
      </c>
      <c r="J30" s="35" t="n">
        <f aca="false">J10*Assumptions!$B$46</f>
        <v>362.459170810144</v>
      </c>
      <c r="K30" s="35" t="n">
        <f aca="false">K10*Assumptions!$B$46</f>
        <v>446.393845986985</v>
      </c>
      <c r="L30" s="35" t="n">
        <f aca="false">L10*Assumptions!$B$46</f>
        <v>543.211640232463</v>
      </c>
      <c r="M30" s="35" t="n">
        <f aca="false">M10*Assumptions!$B$46</f>
        <v>654.756915198028</v>
      </c>
      <c r="N30" s="35" t="n">
        <f aca="false">N10*Assumptions!$B$46</f>
        <v>783.143184176479</v>
      </c>
      <c r="O30" s="35" t="n">
        <f aca="false">O10*Assumptions!$B$46</f>
        <v>918.884131760839</v>
      </c>
      <c r="P30" s="35" t="n">
        <f aca="false">P10*Assumptions!$B$46</f>
        <v>1062.20597962359</v>
      </c>
      <c r="Q30" s="35" t="n">
        <f aca="false">Q10*Assumptions!$B$46</f>
        <v>1213.36681483818</v>
      </c>
      <c r="R30" s="35" t="n">
        <f aca="false">R10*Assumptions!$B$46</f>
        <v>1372.65627718256</v>
      </c>
      <c r="S30" s="35" t="n">
        <f aca="false">S10*Assumptions!$B$46</f>
        <v>1540.39537851272</v>
      </c>
      <c r="T30" s="35" t="n">
        <f aca="false">T10*Assumptions!$B$46</f>
        <v>1716.9364493035</v>
      </c>
      <c r="U30" s="35" t="n">
        <f aca="false">U10*Assumptions!$B$46</f>
        <v>1902.66320801784</v>
      </c>
      <c r="V30" s="35" t="n">
        <f aca="false">V10*Assumptions!$B$46</f>
        <v>2097.99094949933</v>
      </c>
      <c r="W30" s="35" t="n">
        <f aca="false">W10*Assumptions!$B$46</f>
        <v>2303.36684909013</v>
      </c>
      <c r="X30" s="35" t="n">
        <f aca="false">X10*Assumptions!$B$46</f>
        <v>2519.27037965776</v>
      </c>
      <c r="Y30" s="35" t="n">
        <f aca="false">Y10*Assumptions!$B$46</f>
        <v>2746.21383917381</v>
      </c>
      <c r="Z30" s="35" t="n">
        <f aca="false">Z10*Assumptions!$B$46</f>
        <v>2984.74298692583</v>
      </c>
      <c r="AA30" s="35" t="n">
        <f aca="false">AA10*Assumptions!$B$46</f>
        <v>3153.18089397674</v>
      </c>
      <c r="AB30" s="35" t="n">
        <f aca="false">AB10*Assumptions!$B$46</f>
        <v>3325.41342605525</v>
      </c>
      <c r="AC30" s="35" t="n">
        <f aca="false">AC10*Assumptions!$B$46</f>
        <v>3501.76894163774</v>
      </c>
      <c r="AD30" s="35" t="n">
        <f aca="false">AD10*Assumptions!$B$46</f>
        <v>3682.57833913111</v>
      </c>
      <c r="AE30" s="35" t="n">
        <f aca="false">AE10*Assumptions!$B$46</f>
        <v>3868.17579413455</v>
      </c>
      <c r="AF30" s="35" t="n">
        <f aca="false">AF10*Assumptions!$B$46</f>
        <v>4058.89948805183</v>
      </c>
      <c r="AG30" s="35" t="n">
        <f aca="false">AG10*Assumptions!$B$46</f>
        <v>4255.09232999669</v>
      </c>
      <c r="AH30" s="35" t="n">
        <f aca="false">AH10*Assumptions!$B$46</f>
        <v>4457.10267387397</v>
      </c>
      <c r="AI30" s="35" t="n">
        <f aca="false">AI10*Assumptions!$B$46</f>
        <v>4665.28503246571</v>
      </c>
      <c r="AJ30" s="35" t="n">
        <f aca="false">AJ10*Assumptions!$B$46</f>
        <v>4880.0007903029</v>
      </c>
      <c r="AK30" s="35" t="n">
        <f aca="false">AK10*Assumptions!$B$46</f>
        <v>5101.61891706127</v>
      </c>
      <c r="AL30" s="35" t="n">
        <f aca="false">AL10*Assumptions!$B$46</f>
        <v>5330.5166831812</v>
      </c>
    </row>
    <row r="31" customFormat="false" ht="15" hidden="false" customHeight="false" outlineLevel="0" collapsed="false">
      <c r="A31" s="8" t="s">
        <v>348</v>
      </c>
      <c r="B31" s="1"/>
      <c r="C31" s="35" t="n">
        <f aca="false">C8*Assumptions!$B$48*Assumptions!$B$47</f>
        <v>120</v>
      </c>
      <c r="D31" s="35" t="n">
        <f aca="false">D8*Assumptions!$B$48*Assumptions!$B$47</f>
        <v>247.2</v>
      </c>
      <c r="E31" s="35" t="n">
        <f aca="false">E8*Assumptions!$B$48*Assumptions!$B$47</f>
        <v>382.896</v>
      </c>
      <c r="F31" s="35" t="n">
        <f aca="false">F8*Assumptions!$B$48*Assumptions!$B$47</f>
        <v>528.5136</v>
      </c>
      <c r="G31" s="35" t="n">
        <f aca="false">G8*Assumptions!$B$48*Assumptions!$B$47</f>
        <v>685.6251072</v>
      </c>
      <c r="H31" s="35" t="n">
        <f aca="false">H8*Assumptions!$B$48*Assumptions!$B$47</f>
        <v>855.968602752</v>
      </c>
      <c r="I31" s="35" t="n">
        <f aca="false">I8*Assumptions!$B$48*Assumptions!$B$47</f>
        <v>1041.46920880896</v>
      </c>
      <c r="J31" s="35" t="n">
        <f aca="false">J8*Assumptions!$B$48*Assumptions!$B$47</f>
        <v>1244.26282516915</v>
      </c>
      <c r="K31" s="35" t="n">
        <f aca="false">K8*Assumptions!$B$48*Assumptions!$B$47</f>
        <v>1466.72263681438</v>
      </c>
      <c r="L31" s="35" t="n">
        <f aca="false">L8*Assumptions!$B$48*Assumptions!$B$47</f>
        <v>1711.48872949954</v>
      </c>
      <c r="M31" s="35" t="n">
        <f aca="false">M8*Assumptions!$B$48*Assumptions!$B$47</f>
        <v>1981.50119073087</v>
      </c>
      <c r="N31" s="35" t="n">
        <f aca="false">N8*Assumptions!$B$48*Assumptions!$B$47</f>
        <v>2280.03711848848</v>
      </c>
      <c r="O31" s="35" t="n">
        <f aca="false">O8*Assumptions!$B$48*Assumptions!$B$47</f>
        <v>2577.35793054869</v>
      </c>
      <c r="P31" s="35" t="n">
        <f aca="false">P8*Assumptions!$B$48*Assumptions!$B$47</f>
        <v>2874.20441545207</v>
      </c>
      <c r="Q31" s="35" t="n">
        <f aca="false">Q8*Assumptions!$B$48*Assumptions!$B$47</f>
        <v>3171.2996296907</v>
      </c>
      <c r="R31" s="35" t="n">
        <f aca="false">R8*Assumptions!$B$48*Assumptions!$B$47</f>
        <v>3469.35103024164</v>
      </c>
      <c r="S31" s="35" t="n">
        <f aca="false">S8*Assumptions!$B$48*Assumptions!$B$47</f>
        <v>3769.05252189282</v>
      </c>
      <c r="T31" s="35" t="n">
        <f aca="false">T8*Assumptions!$B$48*Assumptions!$B$47</f>
        <v>4071.08642618356</v>
      </c>
      <c r="U31" s="35" t="n">
        <f aca="false">U8*Assumptions!$B$48*Assumptions!$B$47</f>
        <v>4376.12537844103</v>
      </c>
      <c r="V31" s="35" t="n">
        <f aca="false">V8*Assumptions!$B$48*Assumptions!$B$47</f>
        <v>4684.83415907618</v>
      </c>
      <c r="W31" s="35" t="n">
        <f aca="false">W8*Assumptions!$B$48*Assumptions!$B$47</f>
        <v>4997.87146500689</v>
      </c>
      <c r="X31" s="35" t="n">
        <f aca="false">X8*Assumptions!$B$48*Assumptions!$B$47</f>
        <v>5315.89162680077</v>
      </c>
      <c r="Y31" s="35" t="n">
        <f aca="false">Y8*Assumptions!$B$48*Assumptions!$B$47</f>
        <v>5639.54627687479</v>
      </c>
      <c r="Z31" s="35" t="n">
        <f aca="false">Z8*Assumptions!$B$48*Assumptions!$B$47</f>
        <v>5969.48597385165</v>
      </c>
      <c r="AA31" s="35" t="n">
        <f aca="false">AA8*Assumptions!$B$48*Assumptions!$B$47</f>
        <v>6306.36178795347</v>
      </c>
      <c r="AB31" s="35" t="n">
        <f aca="false">AB8*Assumptions!$B$48*Assumptions!$B$47</f>
        <v>6650.8268521105</v>
      </c>
      <c r="AC31" s="35" t="n">
        <f aca="false">AC8*Assumptions!$B$48*Assumptions!$B$47</f>
        <v>7003.53788327548</v>
      </c>
      <c r="AD31" s="35" t="n">
        <f aca="false">AD8*Assumptions!$B$48*Assumptions!$B$47</f>
        <v>7365.15667826223</v>
      </c>
      <c r="AE31" s="35" t="n">
        <f aca="false">AE8*Assumptions!$B$48*Assumptions!$B$47</f>
        <v>7736.3515882691</v>
      </c>
      <c r="AF31" s="35" t="n">
        <f aca="false">AF8*Assumptions!$B$48*Assumptions!$B$47</f>
        <v>8117.79897610366</v>
      </c>
      <c r="AG31" s="35" t="n">
        <f aca="false">AG8*Assumptions!$B$48*Assumptions!$B$47</f>
        <v>8510.18465999337</v>
      </c>
      <c r="AH31" s="35" t="n">
        <f aca="false">AH8*Assumptions!$B$48*Assumptions!$B$47</f>
        <v>8914.20534774795</v>
      </c>
      <c r="AI31" s="35" t="n">
        <f aca="false">AI8*Assumptions!$B$48*Assumptions!$B$47</f>
        <v>9330.57006493141</v>
      </c>
      <c r="AJ31" s="35" t="n">
        <f aca="false">AJ8*Assumptions!$B$48*Assumptions!$B$47</f>
        <v>9760.0015806058</v>
      </c>
      <c r="AK31" s="35" t="n">
        <f aca="false">AK8*Assumptions!$B$48*Assumptions!$B$47</f>
        <v>10203.2378341225</v>
      </c>
      <c r="AL31" s="35" t="n">
        <f aca="false">AL8*Assumptions!$B$48*Assumptions!$B$47</f>
        <v>10661.0333663624</v>
      </c>
    </row>
    <row r="32" customFormat="false" ht="15" hidden="false" customHeight="false" outlineLevel="0" collapsed="false">
      <c r="A32" s="8" t="s">
        <v>349</v>
      </c>
      <c r="B32" s="1"/>
      <c r="C32" s="35" t="n">
        <f aca="false">C10*Assumptions!$B$49</f>
        <v>4.8</v>
      </c>
      <c r="D32" s="35" t="n">
        <f aca="false">D10*Assumptions!$B$49</f>
        <v>10.5328695652174</v>
      </c>
      <c r="E32" s="35" t="n">
        <f aca="false">E10*Assumptions!$B$49</f>
        <v>17.3135582608696</v>
      </c>
      <c r="F32" s="35" t="n">
        <f aca="false">F10*Assumptions!$B$49</f>
        <v>25.2767373913043</v>
      </c>
      <c r="G32" s="35" t="n">
        <f aca="false">G10*Assumptions!$B$49</f>
        <v>34.5793532326957</v>
      </c>
      <c r="H32" s="35" t="n">
        <f aca="false">H10*Assumptions!$B$49</f>
        <v>45.4035519720626</v>
      </c>
      <c r="I32" s="35" t="n">
        <f aca="false">I10*Assumptions!$B$49</f>
        <v>57.9600255337161</v>
      </c>
      <c r="J32" s="35" t="n">
        <f aca="false">J10*Assumptions!$B$49</f>
        <v>72.4918341620289</v>
      </c>
      <c r="K32" s="35" t="n">
        <f aca="false">K10*Assumptions!$B$49</f>
        <v>89.2787691973971</v>
      </c>
      <c r="L32" s="35" t="n">
        <f aca="false">L10*Assumptions!$B$49</f>
        <v>108.642328046493</v>
      </c>
      <c r="M32" s="35" t="n">
        <f aca="false">M10*Assumptions!$B$49</f>
        <v>130.951383039606</v>
      </c>
      <c r="N32" s="35" t="n">
        <f aca="false">N10*Assumptions!$B$49</f>
        <v>156.628636835296</v>
      </c>
      <c r="O32" s="35" t="n">
        <f aca="false">O10*Assumptions!$B$49</f>
        <v>183.776826352168</v>
      </c>
      <c r="P32" s="35" t="n">
        <f aca="false">P10*Assumptions!$B$49</f>
        <v>212.441195924719</v>
      </c>
      <c r="Q32" s="35" t="n">
        <f aca="false">Q10*Assumptions!$B$49</f>
        <v>242.673362967636</v>
      </c>
      <c r="R32" s="35" t="n">
        <f aca="false">R10*Assumptions!$B$49</f>
        <v>274.531255436513</v>
      </c>
      <c r="S32" s="35" t="n">
        <f aca="false">S10*Assumptions!$B$49</f>
        <v>308.079075702544</v>
      </c>
      <c r="T32" s="35" t="n">
        <f aca="false">T10*Assumptions!$B$49</f>
        <v>343.3872898607</v>
      </c>
      <c r="U32" s="35" t="n">
        <f aca="false">U10*Assumptions!$B$49</f>
        <v>380.532641603567</v>
      </c>
      <c r="V32" s="35" t="n">
        <f aca="false">V10*Assumptions!$B$49</f>
        <v>419.598189899867</v>
      </c>
      <c r="W32" s="35" t="n">
        <f aca="false">W10*Assumptions!$B$49</f>
        <v>460.673369818027</v>
      </c>
      <c r="X32" s="35" t="n">
        <f aca="false">X10*Assumptions!$B$49</f>
        <v>503.854075931552</v>
      </c>
      <c r="Y32" s="35" t="n">
        <f aca="false">Y10*Assumptions!$B$49</f>
        <v>549.242767834762</v>
      </c>
      <c r="Z32" s="35" t="n">
        <f aca="false">Z10*Assumptions!$B$49</f>
        <v>596.948597385165</v>
      </c>
      <c r="AA32" s="35" t="n">
        <f aca="false">AA10*Assumptions!$B$49</f>
        <v>630.636178795347</v>
      </c>
      <c r="AB32" s="35" t="n">
        <f aca="false">AB10*Assumptions!$B$49</f>
        <v>665.08268521105</v>
      </c>
      <c r="AC32" s="35" t="n">
        <f aca="false">AC10*Assumptions!$B$49</f>
        <v>700.353788327548</v>
      </c>
      <c r="AD32" s="35" t="n">
        <f aca="false">AD10*Assumptions!$B$49</f>
        <v>736.515667826223</v>
      </c>
      <c r="AE32" s="35" t="n">
        <f aca="false">AE10*Assumptions!$B$49</f>
        <v>773.63515882691</v>
      </c>
      <c r="AF32" s="35" t="n">
        <f aca="false">AF10*Assumptions!$B$49</f>
        <v>811.779897610366</v>
      </c>
      <c r="AG32" s="35" t="n">
        <f aca="false">AG10*Assumptions!$B$49</f>
        <v>851.018465999338</v>
      </c>
      <c r="AH32" s="35" t="n">
        <f aca="false">AH10*Assumptions!$B$49</f>
        <v>891.420534774795</v>
      </c>
      <c r="AI32" s="35" t="n">
        <f aca="false">AI10*Assumptions!$B$49</f>
        <v>933.057006493141</v>
      </c>
      <c r="AJ32" s="35" t="n">
        <f aca="false">AJ10*Assumptions!$B$49</f>
        <v>976.00015806058</v>
      </c>
      <c r="AK32" s="35" t="n">
        <f aca="false">AK10*Assumptions!$B$49</f>
        <v>1020.32378341225</v>
      </c>
      <c r="AL32" s="35" t="n">
        <f aca="false">AL10*Assumptions!$B$49</f>
        <v>1066.10333663624</v>
      </c>
    </row>
    <row r="33" customFormat="false" ht="15" hidden="false" customHeight="false" outlineLevel="0" collapsed="false">
      <c r="A33" s="6" t="s">
        <v>350</v>
      </c>
      <c r="B33" s="1"/>
      <c r="C33" s="10" t="n">
        <f aca="false">SUM(C23:C32)</f>
        <v>2006.8</v>
      </c>
      <c r="D33" s="10" t="n">
        <f aca="false">SUM(D23:D32)</f>
        <v>4261.252</v>
      </c>
      <c r="E33" s="10" t="n">
        <f aca="false">SUM(E23:E32)</f>
        <v>6895.04128</v>
      </c>
      <c r="F33" s="10" t="n">
        <f aca="false">SUM(F23:F32)</f>
        <v>9957.63292</v>
      </c>
      <c r="G33" s="10" t="n">
        <f aca="false">SUM(G23:G32)</f>
        <v>13506.472773184</v>
      </c>
      <c r="H33" s="10" t="n">
        <f aca="false">SUM(H23:H32)</f>
        <v>17608.0347633645</v>
      </c>
      <c r="I33" s="10" t="n">
        <f aca="false">SUM(I23:I32)</f>
        <v>22339.0176477969</v>
      </c>
      <c r="J33" s="10" t="n">
        <f aca="false">SUM(J23:J32)</f>
        <v>27787.7110323632</v>
      </c>
      <c r="K33" s="10" t="n">
        <f aca="false">SUM(K23:K32)</f>
        <v>34055.553096201</v>
      </c>
      <c r="L33" s="10" t="n">
        <f aca="false">SUM(L23:L32)</f>
        <v>41258.9055036115</v>
      </c>
      <c r="M33" s="10" t="n">
        <f aca="false">SUM(M23:M32)</f>
        <v>49531.0743985893</v>
      </c>
      <c r="N33" s="10" t="n">
        <f aca="false">SUM(N23:N32)</f>
        <v>59024.6102436357</v>
      </c>
      <c r="O33" s="10" t="n">
        <f aca="false">SUM(O23:O32)</f>
        <v>68996.8108898197</v>
      </c>
      <c r="P33" s="10" t="n">
        <f aca="false">SUM(P23:P32)</f>
        <v>79488.7165025986</v>
      </c>
      <c r="Q33" s="10" t="n">
        <f aca="false">SUM(Q23:Q32)</f>
        <v>90519.6250417813</v>
      </c>
      <c r="R33" s="10" t="n">
        <f aca="false">SUM(R23:R32)</f>
        <v>102110.966600144</v>
      </c>
      <c r="S33" s="10" t="n">
        <f aca="false">SUM(S23:S32)</f>
        <v>114286.295480937</v>
      </c>
      <c r="T33" s="10" t="n">
        <f aca="false">SUM(T23:T32)</f>
        <v>127071.290832777</v>
      </c>
      <c r="U33" s="10" t="n">
        <f aca="false">SUM(U23:U32)</f>
        <v>140493.765558303</v>
      </c>
      <c r="V33" s="10" t="n">
        <f aca="false">SUM(V23:V32)</f>
        <v>154583.683248929</v>
      </c>
      <c r="W33" s="10" t="n">
        <f aca="false">SUM(W23:W32)</f>
        <v>169373.182932146</v>
      </c>
      <c r="X33" s="10" t="n">
        <f aca="false">SUM(X23:X32)</f>
        <v>184896.61145033</v>
      </c>
      <c r="Y33" s="10" t="n">
        <f aca="false">SUM(Y23:Y32)</f>
        <v>201190.56332094</v>
      </c>
      <c r="Z33" s="10" t="n">
        <f aca="false">SUM(Z23:Z32)</f>
        <v>218293.927957563</v>
      </c>
      <c r="AA33" s="10" t="n">
        <f aca="false">SUM(AA23:AA32)</f>
        <v>230603.75035938</v>
      </c>
      <c r="AB33" s="10" t="n">
        <f aca="false">SUM(AB23:AB32)</f>
        <v>243191.281740259</v>
      </c>
      <c r="AC33" s="10" t="n">
        <f aca="false">SUM(AC23:AC32)</f>
        <v>256080.511494383</v>
      </c>
      <c r="AD33" s="10" t="n">
        <f aca="false">SUM(AD23:AD32)</f>
        <v>269295.615729601</v>
      </c>
      <c r="AE33" s="10" t="n">
        <f aca="false">SUM(AE23:AE32)</f>
        <v>282861.011107701</v>
      </c>
      <c r="AF33" s="10" t="n">
        <f aca="false">SUM(AF23:AF32)</f>
        <v>296801.40805599</v>
      </c>
      <c r="AG33" s="10" t="n">
        <f aca="false">SUM(AG23:AG32)</f>
        <v>311141.863491972</v>
      </c>
      <c r="AH33" s="10" t="n">
        <f aca="false">SUM(AH23:AH32)</f>
        <v>325907.833198568</v>
      </c>
      <c r="AI33" s="10" t="n">
        <f aca="false">SUM(AI23:AI32)</f>
        <v>341125.223983414</v>
      </c>
      <c r="AJ33" s="10" t="n">
        <f aca="false">SUM(AJ23:AJ32)</f>
        <v>356820.445752238</v>
      </c>
      <c r="AK33" s="10" t="n">
        <f aca="false">SUM(AK23:AK32)</f>
        <v>373020.463623247</v>
      </c>
      <c r="AL33" s="10" t="n">
        <f aca="false">SUM(AL23:AL32)</f>
        <v>389752.850206641</v>
      </c>
    </row>
    <row r="34" customFormat="false" ht="15" hidden="false" customHeight="false" outlineLevel="0" collapsed="false">
      <c r="A34" s="6" t="s">
        <v>64</v>
      </c>
      <c r="B34" s="1"/>
      <c r="C34" s="10" t="n">
        <f aca="false">C21-C33</f>
        <v>613.2</v>
      </c>
      <c r="D34" s="10" t="n">
        <f aca="false">D21-D33</f>
        <v>1456.12573913044</v>
      </c>
      <c r="E34" s="10" t="n">
        <f aca="false">E21-E33</f>
        <v>2456.72183652174</v>
      </c>
      <c r="F34" s="10" t="n">
        <f aca="false">F21-F33</f>
        <v>3635.20069878261</v>
      </c>
      <c r="G34" s="10" t="n">
        <f aca="false">G21-G33</f>
        <v>5015.1429850574</v>
      </c>
      <c r="H34" s="10" t="n">
        <f aca="false">H21-H33</f>
        <v>6623.94016686189</v>
      </c>
      <c r="I34" s="10" t="n">
        <f aca="false">I21-I33</f>
        <v>8493.30093507614</v>
      </c>
      <c r="J34" s="10" t="n">
        <f aca="false">J21-J33</f>
        <v>10659.829937418</v>
      </c>
      <c r="K34" s="10" t="n">
        <f aca="false">K21-K33</f>
        <v>13165.6884802871</v>
      </c>
      <c r="L34" s="10" t="n">
        <f aca="false">L21-L33</f>
        <v>16059.3481310178</v>
      </c>
      <c r="M34" s="10" t="n">
        <f aca="false">M21-M33</f>
        <v>19396.4496302838</v>
      </c>
      <c r="N34" s="10" t="n">
        <f aca="false">N21-N33</f>
        <v>23240.7811922393</v>
      </c>
      <c r="O34" s="10" t="n">
        <f aca="false">O21-O33</f>
        <v>27334.3697103144</v>
      </c>
      <c r="P34" s="10" t="n">
        <f aca="false">P21-P33</f>
        <v>31660.1006538496</v>
      </c>
      <c r="Q34" s="10" t="n">
        <f aca="false">Q21-Q33</f>
        <v>36225.7309409066</v>
      </c>
      <c r="R34" s="10" t="n">
        <f aca="false">R21-R33</f>
        <v>41039.9877570946</v>
      </c>
      <c r="S34" s="10" t="n">
        <f aca="false">S21-S33</f>
        <v>46112.5625819113</v>
      </c>
      <c r="T34" s="10" t="n">
        <f aca="false">T21-T33</f>
        <v>51454.1091307301</v>
      </c>
      <c r="U34" s="10" t="n">
        <f aca="false">U21-U33</f>
        <v>57076.2450779917</v>
      </c>
      <c r="V34" s="10" t="n">
        <f aca="false">V21-V33</f>
        <v>62991.5574435985</v>
      </c>
      <c r="W34" s="10" t="n">
        <f aca="false">W21-W33</f>
        <v>69213.6115401182</v>
      </c>
      <c r="X34" s="10" t="n">
        <f aca="false">X21-X33</f>
        <v>75756.9633932388</v>
      </c>
      <c r="Y34" s="10" t="n">
        <f aca="false">Y21-Y33</f>
        <v>82637.1755620524</v>
      </c>
      <c r="Z34" s="10" t="n">
        <f aca="false">Z21-Z33</f>
        <v>89870.8362992383</v>
      </c>
      <c r="AA34" s="10" t="n">
        <f aca="false">AA21-AA33</f>
        <v>94951.6663407378</v>
      </c>
      <c r="AB34" s="10" t="n">
        <f aca="false">AB21-AB33</f>
        <v>100146.569788525</v>
      </c>
      <c r="AC34" s="10" t="n">
        <f aca="false">AC21-AC33</f>
        <v>105465.459166575</v>
      </c>
      <c r="AD34" s="10" t="n">
        <f aca="false">AD21-AD33</f>
        <v>110918.322524556</v>
      </c>
      <c r="AE34" s="10" t="n">
        <f aca="false">AE21-AE33</f>
        <v>116515.245717378</v>
      </c>
      <c r="AF34" s="10" t="n">
        <f aca="false">AF21-AF33</f>
        <v>122266.434420401</v>
      </c>
      <c r="AG34" s="10" t="n">
        <f aca="false">AG21-AG33</f>
        <v>128182.235939086</v>
      </c>
      <c r="AH34" s="10" t="n">
        <f aca="false">AH21-AH33</f>
        <v>134273.160870007</v>
      </c>
      <c r="AI34" s="10" t="n">
        <f aca="false">AI21-AI33</f>
        <v>140549.904668562</v>
      </c>
      <c r="AJ34" s="10" t="n">
        <f aca="false">AJ21-AJ33</f>
        <v>147023.369177235</v>
      </c>
      <c r="AK34" s="10" t="n">
        <f aca="false">AK21-AK33</f>
        <v>153704.684166939</v>
      </c>
      <c r="AL34" s="10" t="n">
        <f aca="false">AL21-AL33</f>
        <v>160605.228942874</v>
      </c>
    </row>
    <row r="35" customFormat="false" ht="15" hidden="false" customHeight="false" outlineLevel="0" collapsed="false">
      <c r="A35" s="8" t="s">
        <v>351</v>
      </c>
      <c r="B35" s="1"/>
      <c r="C35" s="36" t="n">
        <f aca="false">IF(C21=0,0,C34/C21)</f>
        <v>0.234045801526718</v>
      </c>
      <c r="D35" s="36" t="n">
        <f aca="false">IF(D21=0,0,D34/D21)</f>
        <v>0.254684193623334</v>
      </c>
      <c r="E35" s="36" t="n">
        <f aca="false">IF(E21=0,0,E34/E21)</f>
        <v>0.262701461308558</v>
      </c>
      <c r="F35" s="36" t="n">
        <f aca="false">IF(F21=0,0,F34/F21)</f>
        <v>0.267435091220382</v>
      </c>
      <c r="G35" s="36" t="n">
        <f aca="false">IF(G21=0,0,G34/G21)</f>
        <v>0.270772434247582</v>
      </c>
      <c r="H35" s="36" t="n">
        <f aca="false">IF(H21=0,0,H34/H21)</f>
        <v>0.273355357371196</v>
      </c>
      <c r="I35" s="36" t="n">
        <f aca="false">IF(I21=0,0,I34/I21)</f>
        <v>0.275467474567224</v>
      </c>
      <c r="J35" s="36" t="n">
        <f aca="false">IF(J21=0,0,J34/J21)</f>
        <v>0.277256481651098</v>
      </c>
      <c r="K35" s="36" t="n">
        <f aca="false">IF(K21=0,0,K34/K21)</f>
        <v>0.278808604787775</v>
      </c>
      <c r="L35" s="36" t="n">
        <f aca="false">IF(L21=0,0,L34/L21)</f>
        <v>0.280178601277472</v>
      </c>
      <c r="M35" s="36" t="n">
        <f aca="false">IF(M21=0,0,M34/M21)</f>
        <v>0.281403545297214</v>
      </c>
      <c r="N35" s="36" t="n">
        <f aca="false">IF(N21=0,0,N34/N21)</f>
        <v>0.282509823226882</v>
      </c>
      <c r="O35" s="36" t="n">
        <f aca="false">IF(O21=0,0,O34/O21)</f>
        <v>0.283754123431519</v>
      </c>
      <c r="P35" s="36" t="n">
        <f aca="false">IF(P21=0,0,P34/P21)</f>
        <v>0.284844242735271</v>
      </c>
      <c r="Q35" s="36" t="n">
        <f aca="false">IF(Q21=0,0,Q34/Q21)</f>
        <v>0.285815055392283</v>
      </c>
      <c r="R35" s="36" t="n">
        <f aca="false">IF(R21=0,0,R34/R21)</f>
        <v>0.286690283982863</v>
      </c>
      <c r="S35" s="36" t="n">
        <f aca="false">IF(S21=0,0,S34/S21)</f>
        <v>0.287486850834332</v>
      </c>
      <c r="T35" s="36" t="n">
        <f aca="false">IF(T21=0,0,T34/T21)</f>
        <v>0.288217302082774</v>
      </c>
      <c r="U35" s="36" t="n">
        <f aca="false">IF(U21=0,0,U34/U21)</f>
        <v>0.288891238574982</v>
      </c>
      <c r="V35" s="36" t="n">
        <f aca="false">IF(V21=0,0,V34/V21)</f>
        <v>0.289516202501261</v>
      </c>
      <c r="W35" s="36" t="n">
        <f aca="false">IF(W21=0,0,W34/W21)</f>
        <v>0.290098249960621</v>
      </c>
      <c r="X35" s="36" t="n">
        <f aca="false">IF(X21=0,0,X34/X21)</f>
        <v>0.290642334135276</v>
      </c>
      <c r="Y35" s="36" t="n">
        <f aca="false">IF(Y21=0,0,Y34/Y21)</f>
        <v>0.291152569820244</v>
      </c>
      <c r="Z35" s="36" t="n">
        <f aca="false">IF(Z21=0,0,Z34/Z21)</f>
        <v>0.291632421104272</v>
      </c>
      <c r="AA35" s="36" t="n">
        <f aca="false">IF(AA21=0,0,AA34/AA21)</f>
        <v>0.291660532953754</v>
      </c>
      <c r="AB35" s="36" t="n">
        <f aca="false">IF(AB21=0,0,AB34/AB21)</f>
        <v>0.29168519970228</v>
      </c>
      <c r="AC35" s="36" t="n">
        <f aca="false">IF(AC21=0,0,AC34/AC21)</f>
        <v>0.29170691343557</v>
      </c>
      <c r="AD35" s="36" t="n">
        <f aca="false">IF(AD21=0,0,AD34/AD21)</f>
        <v>0.291726081989167</v>
      </c>
      <c r="AE35" s="36" t="n">
        <f aca="false">IF(AE21=0,0,AE34/AE21)</f>
        <v>0.291743046128077</v>
      </c>
      <c r="AF35" s="36" t="n">
        <f aca="false">IF(AF21=0,0,AF34/AF21)</f>
        <v>0.291758092670376</v>
      </c>
      <c r="AG35" s="36" t="n">
        <f aca="false">IF(AG21=0,0,AG34/AG21)</f>
        <v>0.291771464631891</v>
      </c>
      <c r="AH35" s="36" t="n">
        <f aca="false">IF(AH21=0,0,AH34/AH21)</f>
        <v>0.291783369154089</v>
      </c>
      <c r="AI35" s="36" t="n">
        <f aca="false">IF(AI21=0,0,AI34/AI21)</f>
        <v>0.291793983762267</v>
      </c>
      <c r="AJ35" s="36" t="n">
        <f aca="false">IF(AJ21=0,0,AJ34/AJ21)</f>
        <v>0.291803461352036</v>
      </c>
      <c r="AK35" s="36" t="n">
        <f aca="false">IF(AK21=0,0,AK34/AK21)</f>
        <v>0.291811934197159</v>
      </c>
      <c r="AL35" s="36" t="n">
        <f aca="false">IF(AL21=0,0,AL34/AL21)</f>
        <v>0.291819517196989</v>
      </c>
    </row>
    <row r="36" customFormat="false" ht="15" hidden="false" customHeight="false" outlineLevel="0" collapsed="false">
      <c r="A36" s="8" t="s">
        <v>352</v>
      </c>
      <c r="B36" s="1"/>
      <c r="C36" s="36" t="n">
        <f aca="false">IF(C11=0,0,C34/C11)</f>
        <v>0.0511</v>
      </c>
      <c r="D36" s="36" t="n">
        <f aca="false">IF(D11=0,0,D34/D11)</f>
        <v>0.0552983488541048</v>
      </c>
      <c r="E36" s="36" t="n">
        <f aca="false">IF(E11=0,0,E34/E11)</f>
        <v>0.0567583346994404</v>
      </c>
      <c r="F36" s="36" t="n">
        <f aca="false">IF(F11=0,0,F34/F11)</f>
        <v>0.0575264226946185</v>
      </c>
      <c r="G36" s="36" t="n">
        <f aca="false">IF(G11=0,0,G34/G11)</f>
        <v>0.058013149653886</v>
      </c>
      <c r="H36" s="36" t="n">
        <f aca="false">IF(H11=0,0,H34/H11)</f>
        <v>0.0583561406908225</v>
      </c>
      <c r="I36" s="36" t="n">
        <f aca="false">IF(I11=0,0,I34/I11)</f>
        <v>0.0586148874633292</v>
      </c>
      <c r="J36" s="36" t="n">
        <f aca="false">IF(J11=0,0,J34/J11)</f>
        <v>0.0588194797973621</v>
      </c>
      <c r="K36" s="36" t="n">
        <f aca="false">IF(K11=0,0,K34/K11)</f>
        <v>0.0589868726849381</v>
      </c>
      <c r="L36" s="36" t="n">
        <f aca="false">IF(L11=0,0,L34/L11)</f>
        <v>0.059127407962559</v>
      </c>
      <c r="M36" s="36" t="n">
        <f aca="false">IF(M11=0,0,M34/M11)</f>
        <v>0.0592477885458221</v>
      </c>
      <c r="N36" s="36" t="n">
        <f aca="false">IF(N11=0,0,N34/N11)</f>
        <v>0.0593525722034556</v>
      </c>
      <c r="O36" s="36" t="n">
        <f aca="false">IF(O11=0,0,O34/O11)</f>
        <v>0.0594947039904457</v>
      </c>
      <c r="P36" s="36" t="n">
        <f aca="false">IF(P11=0,0,P34/P11)</f>
        <v>0.0596119797123883</v>
      </c>
      <c r="Q36" s="36" t="n">
        <f aca="false">IF(Q11=0,0,Q34/Q11)</f>
        <v>0.0597110956025903</v>
      </c>
      <c r="R36" s="36" t="n">
        <f aca="false">IF(R11=0,0,R34/R11)</f>
        <v>0.0597964522354146</v>
      </c>
      <c r="S36" s="36" t="n">
        <f aca="false">IF(S11=0,0,S34/S11)</f>
        <v>0.0598710736543936</v>
      </c>
      <c r="T36" s="36" t="n">
        <f aca="false">IF(T11=0,0,T34/T11)</f>
        <v>0.0599371154961538</v>
      </c>
      <c r="U36" s="36" t="n">
        <f aca="false">IF(U11=0,0,U34/U11)</f>
        <v>0.0599961620506162</v>
      </c>
      <c r="V36" s="36" t="n">
        <f aca="false">IF(V11=0,0,V34/V11)</f>
        <v>0.0600494081813183</v>
      </c>
      <c r="W36" s="36" t="n">
        <f aca="false">IF(W11=0,0,W34/W11)</f>
        <v>0.0600977751915277</v>
      </c>
      <c r="X36" s="36" t="n">
        <f aca="false">IF(X11=0,0,X34/X11)</f>
        <v>0.0601419871443337</v>
      </c>
      <c r="Y36" s="36" t="n">
        <f aca="false">IF(Y11=0,0,Y34/Y11)</f>
        <v>0.060182622622653</v>
      </c>
      <c r="Z36" s="36" t="n">
        <f aca="false">IF(Z11=0,0,Z34/Z11)</f>
        <v>0.0602201507418915</v>
      </c>
      <c r="AA36" s="36" t="n">
        <f aca="false">IF(AA11=0,0,AA34/AA11)</f>
        <v>0.0602259556513971</v>
      </c>
      <c r="AB36" s="36" t="n">
        <f aca="false">IF(AB11=0,0,AB34/AB11)</f>
        <v>0.0602310491705229</v>
      </c>
      <c r="AC36" s="36" t="n">
        <f aca="false">IF(AC11=0,0,AC34/AC11)</f>
        <v>0.0602355329116889</v>
      </c>
      <c r="AD36" s="36" t="n">
        <f aca="false">IF(AD11=0,0,AD34/AD11)</f>
        <v>0.0602394910902164</v>
      </c>
      <c r="AE36" s="36" t="n">
        <f aca="false">IF(AE11=0,0,AE34/AE11)</f>
        <v>0.0602429940718071</v>
      </c>
      <c r="AF36" s="36" t="n">
        <f aca="false">IF(AF11=0,0,AF34/AF11)</f>
        <v>0.0602461010824814</v>
      </c>
      <c r="AG36" s="36" t="n">
        <f aca="false">IF(AG11=0,0,AG34/AG11)</f>
        <v>0.060248862303388</v>
      </c>
      <c r="AH36" s="36" t="n">
        <f aca="false">IF(AH11=0,0,AH34/AH11)</f>
        <v>0.0602513205078584</v>
      </c>
      <c r="AI36" s="36" t="n">
        <f aca="false">IF(AI11=0,0,AI34/AI11)</f>
        <v>0.060253512353683</v>
      </c>
      <c r="AJ36" s="36" t="n">
        <f aca="false">IF(AJ11=0,0,AJ34/AJ11)</f>
        <v>0.0602554694127864</v>
      </c>
      <c r="AK36" s="36" t="n">
        <f aca="false">IF(AK11=0,0,AK34/AK11)</f>
        <v>0.0602572189988188</v>
      </c>
      <c r="AL36" s="36" t="n">
        <f aca="false">IF(AL11=0,0,AL34/AL11)</f>
        <v>0.0602587848377303</v>
      </c>
    </row>
    <row r="37" customFormat="false" ht="15" hidden="false" customHeight="false" outlineLevel="0" collapsed="false">
      <c r="A37" s="31" t="s">
        <v>66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customFormat="false" ht="15" hidden="false" customHeight="false" outlineLevel="0" collapsed="false">
      <c r="A38" s="8" t="s">
        <v>353</v>
      </c>
      <c r="B38" s="1"/>
      <c r="C38" s="35" t="n">
        <f aca="false">SUMPRODUCT(Team!$B$5:$B$18,Team!$C$5:$C$18,(Team!$D$5:$D$18&lt;=C4)*1)*(1+Assumptions!$B$52)</f>
        <v>33465</v>
      </c>
      <c r="D38" s="35" t="n">
        <f aca="false">SUMPRODUCT(Team!$B$5:$B$18,Team!$C$5:$C$18,(Team!$D$5:$D$18&lt;=D4)*1)*(1+Assumptions!$B$52)</f>
        <v>33465</v>
      </c>
      <c r="E38" s="35" t="n">
        <f aca="false">SUMPRODUCT(Team!$B$5:$B$18,Team!$C$5:$C$18,(Team!$D$5:$D$18&lt;=E4)*1)*(1+Assumptions!$B$52)</f>
        <v>33465</v>
      </c>
      <c r="F38" s="35" t="n">
        <f aca="false">SUMPRODUCT(Team!$B$5:$B$18,Team!$C$5:$C$18,(Team!$D$5:$D$18&lt;=F4)*1)*(1+Assumptions!$B$52)</f>
        <v>35190</v>
      </c>
      <c r="G38" s="35" t="n">
        <f aca="false">SUMPRODUCT(Team!$B$5:$B$18,Team!$C$5:$C$18,(Team!$D$5:$D$18&lt;=G4)*1)*(1+Assumptions!$B$52)</f>
        <v>35190</v>
      </c>
      <c r="H38" s="35" t="n">
        <f aca="false">SUMPRODUCT(Team!$B$5:$B$18,Team!$C$5:$C$18,(Team!$D$5:$D$18&lt;=H4)*1)*(1+Assumptions!$B$52)</f>
        <v>35190</v>
      </c>
      <c r="I38" s="35" t="n">
        <f aca="false">SUMPRODUCT(Team!$B$5:$B$18,Team!$C$5:$C$18,(Team!$D$5:$D$18&lt;=I4)*1)*(1+Assumptions!$B$52)</f>
        <v>35190</v>
      </c>
      <c r="J38" s="35" t="n">
        <f aca="false">SUMPRODUCT(Team!$B$5:$B$18,Team!$C$5:$C$18,(Team!$D$5:$D$18&lt;=J4)*1)*(1+Assumptions!$B$52)</f>
        <v>35190</v>
      </c>
      <c r="K38" s="35" t="n">
        <f aca="false">SUMPRODUCT(Team!$B$5:$B$18,Team!$C$5:$C$18,(Team!$D$5:$D$18&lt;=K4)*1)*(1+Assumptions!$B$52)</f>
        <v>35190</v>
      </c>
      <c r="L38" s="35" t="n">
        <f aca="false">SUMPRODUCT(Team!$B$5:$B$18,Team!$C$5:$C$18,(Team!$D$5:$D$18&lt;=L4)*1)*(1+Assumptions!$B$52)</f>
        <v>35190</v>
      </c>
      <c r="M38" s="35" t="n">
        <f aca="false">SUMPRODUCT(Team!$B$5:$B$18,Team!$C$5:$C$18,(Team!$D$5:$D$18&lt;=M4)*1)*(1+Assumptions!$B$52)</f>
        <v>35190</v>
      </c>
      <c r="N38" s="35" t="n">
        <f aca="false">SUMPRODUCT(Team!$B$5:$B$18,Team!$C$5:$C$18,(Team!$D$5:$D$18&lt;=N4)*1)*(1+Assumptions!$B$52)</f>
        <v>35190</v>
      </c>
      <c r="O38" s="35" t="n">
        <f aca="false">SUMPRODUCT(Team!$B$5:$B$18,Team!$C$5:$C$18,(Team!$D$5:$D$18&lt;=O4)*1)*(1+Assumptions!$B$52)</f>
        <v>51980</v>
      </c>
      <c r="P38" s="35" t="n">
        <f aca="false">SUMPRODUCT(Team!$B$5:$B$18,Team!$C$5:$C$18,(Team!$D$5:$D$18&lt;=P4)*1)*(1+Assumptions!$B$52)</f>
        <v>51980</v>
      </c>
      <c r="Q38" s="35" t="n">
        <f aca="false">SUMPRODUCT(Team!$B$5:$B$18,Team!$C$5:$C$18,(Team!$D$5:$D$18&lt;=Q4)*1)*(1+Assumptions!$B$52)</f>
        <v>51980</v>
      </c>
      <c r="R38" s="35" t="n">
        <f aca="false">SUMPRODUCT(Team!$B$5:$B$18,Team!$C$5:$C$18,(Team!$D$5:$D$18&lt;=R4)*1)*(1+Assumptions!$B$52)</f>
        <v>51980</v>
      </c>
      <c r="S38" s="35" t="n">
        <f aca="false">SUMPRODUCT(Team!$B$5:$B$18,Team!$C$5:$C$18,(Team!$D$5:$D$18&lt;=S4)*1)*(1+Assumptions!$B$52)</f>
        <v>51980</v>
      </c>
      <c r="T38" s="35" t="n">
        <f aca="false">SUMPRODUCT(Team!$B$5:$B$18,Team!$C$5:$C$18,(Team!$D$5:$D$18&lt;=T4)*1)*(1+Assumptions!$B$52)</f>
        <v>51980</v>
      </c>
      <c r="U38" s="35" t="n">
        <f aca="false">SUMPRODUCT(Team!$B$5:$B$18,Team!$C$5:$C$18,(Team!$D$5:$D$18&lt;=U4)*1)*(1+Assumptions!$B$52)</f>
        <v>51980</v>
      </c>
      <c r="V38" s="35" t="n">
        <f aca="false">SUMPRODUCT(Team!$B$5:$B$18,Team!$C$5:$C$18,(Team!$D$5:$D$18&lt;=V4)*1)*(1+Assumptions!$B$52)</f>
        <v>51980</v>
      </c>
      <c r="W38" s="35" t="n">
        <f aca="false">SUMPRODUCT(Team!$B$5:$B$18,Team!$C$5:$C$18,(Team!$D$5:$D$18&lt;=W4)*1)*(1+Assumptions!$B$52)</f>
        <v>51980</v>
      </c>
      <c r="X38" s="35" t="n">
        <f aca="false">SUMPRODUCT(Team!$B$5:$B$18,Team!$C$5:$C$18,(Team!$D$5:$D$18&lt;=X4)*1)*(1+Assumptions!$B$52)</f>
        <v>51980</v>
      </c>
      <c r="Y38" s="35" t="n">
        <f aca="false">SUMPRODUCT(Team!$B$5:$B$18,Team!$C$5:$C$18,(Team!$D$5:$D$18&lt;=Y4)*1)*(1+Assumptions!$B$52)</f>
        <v>51980</v>
      </c>
      <c r="Z38" s="35" t="n">
        <f aca="false">SUMPRODUCT(Team!$B$5:$B$18,Team!$C$5:$C$18,(Team!$D$5:$D$18&lt;=Z4)*1)*(1+Assumptions!$B$52)</f>
        <v>51980</v>
      </c>
      <c r="AA38" s="35" t="n">
        <f aca="false">SUMPRODUCT(Team!$B$5:$B$18,Team!$C$5:$C$18,(Team!$D$5:$D$18&lt;=AA4)*1)*(1+Assumptions!$B$52)</f>
        <v>51980</v>
      </c>
      <c r="AB38" s="35" t="n">
        <f aca="false">SUMPRODUCT(Team!$B$5:$B$18,Team!$C$5:$C$18,(Team!$D$5:$D$18&lt;=AB4)*1)*(1+Assumptions!$B$52)</f>
        <v>51980</v>
      </c>
      <c r="AC38" s="35" t="n">
        <f aca="false">SUMPRODUCT(Team!$B$5:$B$18,Team!$C$5:$C$18,(Team!$D$5:$D$18&lt;=AC4)*1)*(1+Assumptions!$B$52)</f>
        <v>51980</v>
      </c>
      <c r="AD38" s="35" t="n">
        <f aca="false">SUMPRODUCT(Team!$B$5:$B$18,Team!$C$5:$C$18,(Team!$D$5:$D$18&lt;=AD4)*1)*(1+Assumptions!$B$52)</f>
        <v>51980</v>
      </c>
      <c r="AE38" s="35" t="n">
        <f aca="false">SUMPRODUCT(Team!$B$5:$B$18,Team!$C$5:$C$18,(Team!$D$5:$D$18&lt;=AE4)*1)*(1+Assumptions!$B$52)</f>
        <v>51980</v>
      </c>
      <c r="AF38" s="35" t="n">
        <f aca="false">SUMPRODUCT(Team!$B$5:$B$18,Team!$C$5:$C$18,(Team!$D$5:$D$18&lt;=AF4)*1)*(1+Assumptions!$B$52)</f>
        <v>51980</v>
      </c>
      <c r="AG38" s="35" t="n">
        <f aca="false">SUMPRODUCT(Team!$B$5:$B$18,Team!$C$5:$C$18,(Team!$D$5:$D$18&lt;=AG4)*1)*(1+Assumptions!$B$52)</f>
        <v>51980</v>
      </c>
      <c r="AH38" s="35" t="n">
        <f aca="false">SUMPRODUCT(Team!$B$5:$B$18,Team!$C$5:$C$18,(Team!$D$5:$D$18&lt;=AH4)*1)*(1+Assumptions!$B$52)</f>
        <v>51980</v>
      </c>
      <c r="AI38" s="35" t="n">
        <f aca="false">SUMPRODUCT(Team!$B$5:$B$18,Team!$C$5:$C$18,(Team!$D$5:$D$18&lt;=AI4)*1)*(1+Assumptions!$B$52)</f>
        <v>51980</v>
      </c>
      <c r="AJ38" s="35" t="n">
        <f aca="false">SUMPRODUCT(Team!$B$5:$B$18,Team!$C$5:$C$18,(Team!$D$5:$D$18&lt;=AJ4)*1)*(1+Assumptions!$B$52)</f>
        <v>51980</v>
      </c>
      <c r="AK38" s="35" t="n">
        <f aca="false">SUMPRODUCT(Team!$B$5:$B$18,Team!$C$5:$C$18,(Team!$D$5:$D$18&lt;=AK4)*1)*(1+Assumptions!$B$52)</f>
        <v>51980</v>
      </c>
      <c r="AL38" s="35" t="n">
        <f aca="false">SUMPRODUCT(Team!$B$5:$B$18,Team!$C$5:$C$18,(Team!$D$5:$D$18&lt;=AL4)*1)*(1+Assumptions!$B$52)</f>
        <v>51980</v>
      </c>
    </row>
    <row r="39" customFormat="false" ht="15" hidden="false" customHeight="false" outlineLevel="0" collapsed="false">
      <c r="A39" s="8" t="s">
        <v>354</v>
      </c>
      <c r="B39" s="1"/>
      <c r="C39" s="11" t="n">
        <f aca="false">'Fixed Costs'!$C$34</f>
        <v>12305</v>
      </c>
      <c r="D39" s="11" t="n">
        <f aca="false">'Fixed Costs'!$C$34</f>
        <v>12305</v>
      </c>
      <c r="E39" s="11" t="n">
        <f aca="false">'Fixed Costs'!$C$34</f>
        <v>12305</v>
      </c>
      <c r="F39" s="11" t="n">
        <f aca="false">'Fixed Costs'!$C$34</f>
        <v>12305</v>
      </c>
      <c r="G39" s="11" t="n">
        <f aca="false">'Fixed Costs'!$C$34</f>
        <v>12305</v>
      </c>
      <c r="H39" s="11" t="n">
        <f aca="false">'Fixed Costs'!$C$34</f>
        <v>12305</v>
      </c>
      <c r="I39" s="11" t="n">
        <f aca="false">'Fixed Costs'!$C$34</f>
        <v>12305</v>
      </c>
      <c r="J39" s="11" t="n">
        <f aca="false">'Fixed Costs'!$C$34</f>
        <v>12305</v>
      </c>
      <c r="K39" s="11" t="n">
        <f aca="false">'Fixed Costs'!$C$34</f>
        <v>12305</v>
      </c>
      <c r="L39" s="11" t="n">
        <f aca="false">'Fixed Costs'!$C$34</f>
        <v>12305</v>
      </c>
      <c r="M39" s="11" t="n">
        <f aca="false">'Fixed Costs'!$C$34</f>
        <v>12305</v>
      </c>
      <c r="N39" s="11" t="n">
        <f aca="false">'Fixed Costs'!$C$34</f>
        <v>12305</v>
      </c>
      <c r="O39" s="11" t="n">
        <f aca="false">'Fixed Costs'!$C$34</f>
        <v>12305</v>
      </c>
      <c r="P39" s="11" t="n">
        <f aca="false">'Fixed Costs'!$C$34</f>
        <v>12305</v>
      </c>
      <c r="Q39" s="11" t="n">
        <f aca="false">'Fixed Costs'!$C$34</f>
        <v>12305</v>
      </c>
      <c r="R39" s="11" t="n">
        <f aca="false">'Fixed Costs'!$C$34</f>
        <v>12305</v>
      </c>
      <c r="S39" s="11" t="n">
        <f aca="false">'Fixed Costs'!$C$34</f>
        <v>12305</v>
      </c>
      <c r="T39" s="11" t="n">
        <f aca="false">'Fixed Costs'!$C$34</f>
        <v>12305</v>
      </c>
      <c r="U39" s="11" t="n">
        <f aca="false">'Fixed Costs'!$C$34</f>
        <v>12305</v>
      </c>
      <c r="V39" s="11" t="n">
        <f aca="false">'Fixed Costs'!$C$34</f>
        <v>12305</v>
      </c>
      <c r="W39" s="11" t="n">
        <f aca="false">'Fixed Costs'!$C$34</f>
        <v>12305</v>
      </c>
      <c r="X39" s="11" t="n">
        <f aca="false">'Fixed Costs'!$C$34</f>
        <v>12305</v>
      </c>
      <c r="Y39" s="11" t="n">
        <f aca="false">'Fixed Costs'!$C$34</f>
        <v>12305</v>
      </c>
      <c r="Z39" s="11" t="n">
        <f aca="false">'Fixed Costs'!$C$34</f>
        <v>12305</v>
      </c>
      <c r="AA39" s="11" t="n">
        <f aca="false">'Fixed Costs'!$C$34</f>
        <v>12305</v>
      </c>
      <c r="AB39" s="11" t="n">
        <f aca="false">'Fixed Costs'!$C$34</f>
        <v>12305</v>
      </c>
      <c r="AC39" s="11" t="n">
        <f aca="false">'Fixed Costs'!$C$34</f>
        <v>12305</v>
      </c>
      <c r="AD39" s="11" t="n">
        <f aca="false">'Fixed Costs'!$C$34</f>
        <v>12305</v>
      </c>
      <c r="AE39" s="11" t="n">
        <f aca="false">'Fixed Costs'!$C$34</f>
        <v>12305</v>
      </c>
      <c r="AF39" s="11" t="n">
        <f aca="false">'Fixed Costs'!$C$34</f>
        <v>12305</v>
      </c>
      <c r="AG39" s="11" t="n">
        <f aca="false">'Fixed Costs'!$C$34</f>
        <v>12305</v>
      </c>
      <c r="AH39" s="11" t="n">
        <f aca="false">'Fixed Costs'!$C$34</f>
        <v>12305</v>
      </c>
      <c r="AI39" s="11" t="n">
        <f aca="false">'Fixed Costs'!$C$34</f>
        <v>12305</v>
      </c>
      <c r="AJ39" s="11" t="n">
        <f aca="false">'Fixed Costs'!$C$34</f>
        <v>12305</v>
      </c>
      <c r="AK39" s="11" t="n">
        <f aca="false">'Fixed Costs'!$C$34</f>
        <v>12305</v>
      </c>
      <c r="AL39" s="11" t="n">
        <f aca="false">'Fixed Costs'!$C$34</f>
        <v>12305</v>
      </c>
    </row>
    <row r="40" customFormat="false" ht="15" hidden="false" customHeight="false" outlineLevel="0" collapsed="false">
      <c r="A40" s="8" t="s">
        <v>355</v>
      </c>
      <c r="B40" s="1"/>
      <c r="C40" s="35" t="n">
        <f aca="false">C7*Assumptions!$B$14</f>
        <v>6000</v>
      </c>
      <c r="D40" s="35" t="n">
        <f aca="false">D7*Assumptions!$B$14</f>
        <v>6720</v>
      </c>
      <c r="E40" s="35" t="n">
        <f aca="false">E7*Assumptions!$B$14</f>
        <v>7526.4</v>
      </c>
      <c r="F40" s="35" t="n">
        <f aca="false">F7*Assumptions!$B$14</f>
        <v>8429.568</v>
      </c>
      <c r="G40" s="35" t="n">
        <f aca="false">G7*Assumptions!$B$14</f>
        <v>9441.11616</v>
      </c>
      <c r="H40" s="35" t="n">
        <f aca="false">H7*Assumptions!$B$14</f>
        <v>10574.0500992</v>
      </c>
      <c r="I40" s="35" t="n">
        <f aca="false">I7*Assumptions!$B$14</f>
        <v>11842.936111104</v>
      </c>
      <c r="J40" s="35" t="n">
        <f aca="false">J7*Assumptions!$B$14</f>
        <v>13264.0884444365</v>
      </c>
      <c r="K40" s="35" t="n">
        <f aca="false">K7*Assumptions!$B$14</f>
        <v>14855.7790577689</v>
      </c>
      <c r="L40" s="35" t="n">
        <f aca="false">L7*Assumptions!$B$14</f>
        <v>16638.4725447011</v>
      </c>
      <c r="M40" s="35" t="n">
        <f aca="false">M7*Assumptions!$B$14</f>
        <v>18635.0892500653</v>
      </c>
      <c r="N40" s="35" t="n">
        <f aca="false">N7*Assumptions!$B$14</f>
        <v>20871.2999600731</v>
      </c>
      <c r="O40" s="35" t="n">
        <f aca="false">O7*Assumptions!$B$14</f>
        <v>21706.151958476</v>
      </c>
      <c r="P40" s="35" t="n">
        <f aca="false">P7*Assumptions!$B$14</f>
        <v>22574.3980368151</v>
      </c>
      <c r="Q40" s="35" t="n">
        <f aca="false">Q7*Assumptions!$B$14</f>
        <v>23477.3739582877</v>
      </c>
      <c r="R40" s="35" t="n">
        <f aca="false">R7*Assumptions!$B$14</f>
        <v>24416.4689166192</v>
      </c>
      <c r="S40" s="35" t="n">
        <f aca="false">S7*Assumptions!$B$14</f>
        <v>25393.127673284</v>
      </c>
      <c r="T40" s="35" t="n">
        <f aca="false">T7*Assumptions!$B$14</f>
        <v>26408.8527802153</v>
      </c>
      <c r="U40" s="35" t="n">
        <f aca="false">U7*Assumptions!$B$14</f>
        <v>27465.2068914239</v>
      </c>
      <c r="V40" s="35" t="n">
        <f aca="false">V7*Assumptions!$B$14</f>
        <v>28563.8151670809</v>
      </c>
      <c r="W40" s="35" t="n">
        <f aca="false">W7*Assumptions!$B$14</f>
        <v>29706.3677737641</v>
      </c>
      <c r="X40" s="35" t="n">
        <f aca="false">X7*Assumptions!$B$14</f>
        <v>30894.6224847147</v>
      </c>
      <c r="Y40" s="35" t="n">
        <f aca="false">Y7*Assumptions!$B$14</f>
        <v>32130.4073841033</v>
      </c>
      <c r="Z40" s="35" t="n">
        <f aca="false">Z7*Assumptions!$B$14</f>
        <v>33415.6236794674</v>
      </c>
      <c r="AA40" s="35" t="n">
        <f aca="false">AA7*Assumptions!$B$14</f>
        <v>34752.2486266461</v>
      </c>
      <c r="AB40" s="35" t="n">
        <f aca="false">AB7*Assumptions!$B$14</f>
        <v>36142.338571712</v>
      </c>
      <c r="AC40" s="35" t="n">
        <f aca="false">AC7*Assumptions!$B$14</f>
        <v>37588.0321145804</v>
      </c>
      <c r="AD40" s="35" t="n">
        <f aca="false">AD7*Assumptions!$B$14</f>
        <v>39091.5533991637</v>
      </c>
      <c r="AE40" s="35" t="n">
        <f aca="false">AE7*Assumptions!$B$14</f>
        <v>40655.2155351302</v>
      </c>
      <c r="AF40" s="35" t="n">
        <f aca="false">AF7*Assumptions!$B$14</f>
        <v>42281.4241565354</v>
      </c>
      <c r="AG40" s="35" t="n">
        <f aca="false">AG7*Assumptions!$B$14</f>
        <v>43972.6811227968</v>
      </c>
      <c r="AH40" s="35" t="n">
        <f aca="false">AH7*Assumptions!$B$14</f>
        <v>45731.5883677087</v>
      </c>
      <c r="AI40" s="35" t="n">
        <f aca="false">AI7*Assumptions!$B$14</f>
        <v>47560.8519024171</v>
      </c>
      <c r="AJ40" s="35" t="n">
        <f aca="false">AJ7*Assumptions!$B$14</f>
        <v>49463.2859785137</v>
      </c>
      <c r="AK40" s="35" t="n">
        <f aca="false">AK7*Assumptions!$B$14</f>
        <v>51441.8174176543</v>
      </c>
      <c r="AL40" s="35" t="n">
        <f aca="false">AL7*Assumptions!$B$14</f>
        <v>53499.4901143605</v>
      </c>
    </row>
    <row r="41" customFormat="false" ht="15" hidden="false" customHeight="false" outlineLevel="0" collapsed="false">
      <c r="A41" s="8" t="s">
        <v>356</v>
      </c>
      <c r="B41" s="1"/>
      <c r="C41" s="35" t="n">
        <f aca="false">(C38+C39)*Assumptions!$B$53</f>
        <v>4577</v>
      </c>
      <c r="D41" s="35" t="n">
        <f aca="false">(D38+D39)*Assumptions!$B$53</f>
        <v>4577</v>
      </c>
      <c r="E41" s="35" t="n">
        <f aca="false">(E38+E39)*Assumptions!$B$53</f>
        <v>4577</v>
      </c>
      <c r="F41" s="35" t="n">
        <f aca="false">(F38+F39)*Assumptions!$B$53</f>
        <v>4749.5</v>
      </c>
      <c r="G41" s="35" t="n">
        <f aca="false">(G38+G39)*Assumptions!$B$53</f>
        <v>4749.5</v>
      </c>
      <c r="H41" s="35" t="n">
        <f aca="false">(H38+H39)*Assumptions!$B$53</f>
        <v>4749.5</v>
      </c>
      <c r="I41" s="35" t="n">
        <f aca="false">(I38+I39)*Assumptions!$B$53</f>
        <v>4749.5</v>
      </c>
      <c r="J41" s="35" t="n">
        <f aca="false">(J38+J39)*Assumptions!$B$53</f>
        <v>4749.5</v>
      </c>
      <c r="K41" s="35" t="n">
        <f aca="false">(K38+K39)*Assumptions!$B$53</f>
        <v>4749.5</v>
      </c>
      <c r="L41" s="35" t="n">
        <f aca="false">(L38+L39)*Assumptions!$B$53</f>
        <v>4749.5</v>
      </c>
      <c r="M41" s="35" t="n">
        <f aca="false">(M38+M39)*Assumptions!$B$53</f>
        <v>4749.5</v>
      </c>
      <c r="N41" s="35" t="n">
        <f aca="false">(N38+N39)*Assumptions!$B$53</f>
        <v>4749.5</v>
      </c>
      <c r="O41" s="35" t="n">
        <f aca="false">(O38+O39)*Assumptions!$B$53</f>
        <v>6428.5</v>
      </c>
      <c r="P41" s="35" t="n">
        <f aca="false">(P38+P39)*Assumptions!$B$53</f>
        <v>6428.5</v>
      </c>
      <c r="Q41" s="35" t="n">
        <f aca="false">(Q38+Q39)*Assumptions!$B$53</f>
        <v>6428.5</v>
      </c>
      <c r="R41" s="35" t="n">
        <f aca="false">(R38+R39)*Assumptions!$B$53</f>
        <v>6428.5</v>
      </c>
      <c r="S41" s="35" t="n">
        <f aca="false">(S38+S39)*Assumptions!$B$53</f>
        <v>6428.5</v>
      </c>
      <c r="T41" s="35" t="n">
        <f aca="false">(T38+T39)*Assumptions!$B$53</f>
        <v>6428.5</v>
      </c>
      <c r="U41" s="35" t="n">
        <f aca="false">(U38+U39)*Assumptions!$B$53</f>
        <v>6428.5</v>
      </c>
      <c r="V41" s="35" t="n">
        <f aca="false">(V38+V39)*Assumptions!$B$53</f>
        <v>6428.5</v>
      </c>
      <c r="W41" s="35" t="n">
        <f aca="false">(W38+W39)*Assumptions!$B$53</f>
        <v>6428.5</v>
      </c>
      <c r="X41" s="35" t="n">
        <f aca="false">(X38+X39)*Assumptions!$B$53</f>
        <v>6428.5</v>
      </c>
      <c r="Y41" s="35" t="n">
        <f aca="false">(Y38+Y39)*Assumptions!$B$53</f>
        <v>6428.5</v>
      </c>
      <c r="Z41" s="35" t="n">
        <f aca="false">(Z38+Z39)*Assumptions!$B$53</f>
        <v>6428.5</v>
      </c>
      <c r="AA41" s="35" t="n">
        <f aca="false">(AA38+AA39)*Assumptions!$B$53</f>
        <v>6428.5</v>
      </c>
      <c r="AB41" s="35" t="n">
        <f aca="false">(AB38+AB39)*Assumptions!$B$53</f>
        <v>6428.5</v>
      </c>
      <c r="AC41" s="35" t="n">
        <f aca="false">(AC38+AC39)*Assumptions!$B$53</f>
        <v>6428.5</v>
      </c>
      <c r="AD41" s="35" t="n">
        <f aca="false">(AD38+AD39)*Assumptions!$B$53</f>
        <v>6428.5</v>
      </c>
      <c r="AE41" s="35" t="n">
        <f aca="false">(AE38+AE39)*Assumptions!$B$53</f>
        <v>6428.5</v>
      </c>
      <c r="AF41" s="35" t="n">
        <f aca="false">(AF38+AF39)*Assumptions!$B$53</f>
        <v>6428.5</v>
      </c>
      <c r="AG41" s="35" t="n">
        <f aca="false">(AG38+AG39)*Assumptions!$B$53</f>
        <v>6428.5</v>
      </c>
      <c r="AH41" s="35" t="n">
        <f aca="false">(AH38+AH39)*Assumptions!$B$53</f>
        <v>6428.5</v>
      </c>
      <c r="AI41" s="35" t="n">
        <f aca="false">(AI38+AI39)*Assumptions!$B$53</f>
        <v>6428.5</v>
      </c>
      <c r="AJ41" s="35" t="n">
        <f aca="false">(AJ38+AJ39)*Assumptions!$B$53</f>
        <v>6428.5</v>
      </c>
      <c r="AK41" s="35" t="n">
        <f aca="false">(AK38+AK39)*Assumptions!$B$53</f>
        <v>6428.5</v>
      </c>
      <c r="AL41" s="35" t="n">
        <f aca="false">(AL38+AL39)*Assumptions!$B$53</f>
        <v>6428.5</v>
      </c>
    </row>
    <row r="42" customFormat="false" ht="15" hidden="false" customHeight="false" outlineLevel="0" collapsed="false">
      <c r="A42" s="6" t="s">
        <v>357</v>
      </c>
      <c r="B42" s="1"/>
      <c r="C42" s="10" t="n">
        <f aca="false">SUM(C38:C41)</f>
        <v>56347</v>
      </c>
      <c r="D42" s="10" t="n">
        <f aca="false">SUM(D38:D41)</f>
        <v>57067</v>
      </c>
      <c r="E42" s="10" t="n">
        <f aca="false">SUM(E38:E41)</f>
        <v>57873.4</v>
      </c>
      <c r="F42" s="10" t="n">
        <f aca="false">SUM(F38:F41)</f>
        <v>60674.068</v>
      </c>
      <c r="G42" s="10" t="n">
        <f aca="false">SUM(G38:G41)</f>
        <v>61685.61616</v>
      </c>
      <c r="H42" s="10" t="n">
        <f aca="false">SUM(H38:H41)</f>
        <v>62818.5500992</v>
      </c>
      <c r="I42" s="10" t="n">
        <f aca="false">SUM(I38:I41)</f>
        <v>64087.436111104</v>
      </c>
      <c r="J42" s="10" t="n">
        <f aca="false">SUM(J38:J41)</f>
        <v>65508.5884444365</v>
      </c>
      <c r="K42" s="10" t="n">
        <f aca="false">SUM(K38:K41)</f>
        <v>67100.2790577689</v>
      </c>
      <c r="L42" s="10" t="n">
        <f aca="false">SUM(L38:L41)</f>
        <v>68882.9725447011</v>
      </c>
      <c r="M42" s="10" t="n">
        <f aca="false">SUM(M38:M41)</f>
        <v>70879.5892500653</v>
      </c>
      <c r="N42" s="10" t="n">
        <f aca="false">SUM(N38:N41)</f>
        <v>73115.7999600731</v>
      </c>
      <c r="O42" s="10" t="n">
        <f aca="false">SUM(O38:O41)</f>
        <v>92419.651958476</v>
      </c>
      <c r="P42" s="10" t="n">
        <f aca="false">SUM(P38:P41)</f>
        <v>93287.8980368151</v>
      </c>
      <c r="Q42" s="10" t="n">
        <f aca="false">SUM(Q38:Q41)</f>
        <v>94190.8739582877</v>
      </c>
      <c r="R42" s="10" t="n">
        <f aca="false">SUM(R38:R41)</f>
        <v>95129.9689166192</v>
      </c>
      <c r="S42" s="10" t="n">
        <f aca="false">SUM(S38:S41)</f>
        <v>96106.627673284</v>
      </c>
      <c r="T42" s="10" t="n">
        <f aca="false">SUM(T38:T41)</f>
        <v>97122.3527802153</v>
      </c>
      <c r="U42" s="10" t="n">
        <f aca="false">SUM(U38:U41)</f>
        <v>98178.7068914239</v>
      </c>
      <c r="V42" s="10" t="n">
        <f aca="false">SUM(V38:V41)</f>
        <v>99277.3151670809</v>
      </c>
      <c r="W42" s="10" t="n">
        <f aca="false">SUM(W38:W41)</f>
        <v>100419.867773764</v>
      </c>
      <c r="X42" s="10" t="n">
        <f aca="false">SUM(X38:X41)</f>
        <v>101608.122484715</v>
      </c>
      <c r="Y42" s="10" t="n">
        <f aca="false">SUM(Y38:Y41)</f>
        <v>102843.907384103</v>
      </c>
      <c r="Z42" s="10" t="n">
        <f aca="false">SUM(Z38:Z41)</f>
        <v>104129.123679467</v>
      </c>
      <c r="AA42" s="10" t="n">
        <f aca="false">SUM(AA38:AA41)</f>
        <v>105465.748626646</v>
      </c>
      <c r="AB42" s="10" t="n">
        <f aca="false">SUM(AB38:AB41)</f>
        <v>106855.838571712</v>
      </c>
      <c r="AC42" s="10" t="n">
        <f aca="false">SUM(AC38:AC41)</f>
        <v>108301.53211458</v>
      </c>
      <c r="AD42" s="10" t="n">
        <f aca="false">SUM(AD38:AD41)</f>
        <v>109805.053399164</v>
      </c>
      <c r="AE42" s="10" t="n">
        <f aca="false">SUM(AE38:AE41)</f>
        <v>111368.71553513</v>
      </c>
      <c r="AF42" s="10" t="n">
        <f aca="false">SUM(AF38:AF41)</f>
        <v>112994.924156535</v>
      </c>
      <c r="AG42" s="10" t="n">
        <f aca="false">SUM(AG38:AG41)</f>
        <v>114686.181122797</v>
      </c>
      <c r="AH42" s="10" t="n">
        <f aca="false">SUM(AH38:AH41)</f>
        <v>116445.088367709</v>
      </c>
      <c r="AI42" s="10" t="n">
        <f aca="false">SUM(AI38:AI41)</f>
        <v>118274.351902417</v>
      </c>
      <c r="AJ42" s="10" t="n">
        <f aca="false">SUM(AJ38:AJ41)</f>
        <v>120176.785978514</v>
      </c>
      <c r="AK42" s="10" t="n">
        <f aca="false">SUM(AK38:AK41)</f>
        <v>122155.317417654</v>
      </c>
      <c r="AL42" s="10" t="n">
        <f aca="false">SUM(AL38:AL41)</f>
        <v>124212.99011436</v>
      </c>
    </row>
    <row r="43" customFormat="false" ht="15" hidden="false" customHeight="false" outlineLevel="0" collapsed="false">
      <c r="A43" s="31" t="s">
        <v>358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customFormat="false" ht="15" hidden="false" customHeight="false" outlineLevel="0" collapsed="false">
      <c r="A44" s="6" t="s">
        <v>68</v>
      </c>
      <c r="B44" s="1"/>
      <c r="C44" s="10" t="n">
        <f aca="false">C34-C42</f>
        <v>-55733.8</v>
      </c>
      <c r="D44" s="10" t="n">
        <f aca="false">D34-D42</f>
        <v>-55610.8742608696</v>
      </c>
      <c r="E44" s="10" t="n">
        <f aca="false">E34-E42</f>
        <v>-55416.6781634783</v>
      </c>
      <c r="F44" s="10" t="n">
        <f aca="false">F34-F42</f>
        <v>-57038.8673012174</v>
      </c>
      <c r="G44" s="10" t="n">
        <f aca="false">G34-G42</f>
        <v>-56670.4731749426</v>
      </c>
      <c r="H44" s="10" t="n">
        <f aca="false">H34-H42</f>
        <v>-56194.6099323381</v>
      </c>
      <c r="I44" s="10" t="n">
        <f aca="false">I34-I42</f>
        <v>-55594.1351760279</v>
      </c>
      <c r="J44" s="10" t="n">
        <f aca="false">J34-J42</f>
        <v>-54848.7585070185</v>
      </c>
      <c r="K44" s="10" t="n">
        <f aca="false">K34-K42</f>
        <v>-53934.5905774818</v>
      </c>
      <c r="L44" s="10" t="n">
        <f aca="false">L34-L42</f>
        <v>-52823.6244136833</v>
      </c>
      <c r="M44" s="10" t="n">
        <f aca="false">M34-M42</f>
        <v>-51483.1396197815</v>
      </c>
      <c r="N44" s="10" t="n">
        <f aca="false">N34-N42</f>
        <v>-49875.0187678338</v>
      </c>
      <c r="O44" s="10" t="n">
        <f aca="false">O34-O42</f>
        <v>-65085.2822481616</v>
      </c>
      <c r="P44" s="10" t="n">
        <f aca="false">P34-P42</f>
        <v>-61627.7973829655</v>
      </c>
      <c r="Q44" s="10" t="n">
        <f aca="false">Q34-Q42</f>
        <v>-57965.1430173811</v>
      </c>
      <c r="R44" s="10" t="n">
        <f aca="false">R34-R42</f>
        <v>-54089.9811595246</v>
      </c>
      <c r="S44" s="10" t="n">
        <f aca="false">S34-S42</f>
        <v>-49994.0650913727</v>
      </c>
      <c r="T44" s="10" t="n">
        <f aca="false">T34-T42</f>
        <v>-45668.2436494852</v>
      </c>
      <c r="U44" s="10" t="n">
        <f aca="false">U34-U42</f>
        <v>-41102.4618134322</v>
      </c>
      <c r="V44" s="10" t="n">
        <f aca="false">V34-V42</f>
        <v>-36285.7577234824</v>
      </c>
      <c r="W44" s="10" t="n">
        <f aca="false">W34-W42</f>
        <v>-31206.2562336459</v>
      </c>
      <c r="X44" s="10" t="n">
        <f aca="false">X34-X42</f>
        <v>-25851.1590914759</v>
      </c>
      <c r="Y44" s="10" t="n">
        <f aca="false">Y34-Y42</f>
        <v>-20206.7318220509</v>
      </c>
      <c r="Z44" s="10" t="n">
        <f aca="false">Z34-Z42</f>
        <v>-14258.2873802291</v>
      </c>
      <c r="AA44" s="10" t="n">
        <f aca="false">AA34-AA42</f>
        <v>-10514.0822859083</v>
      </c>
      <c r="AB44" s="10" t="n">
        <f aca="false">AB34-AB42</f>
        <v>-6709.26878318656</v>
      </c>
      <c r="AC44" s="10" t="n">
        <f aca="false">AC34-AC42</f>
        <v>-2836.07294800528</v>
      </c>
      <c r="AD44" s="10" t="n">
        <f aca="false">AD34-AD42</f>
        <v>1113.26912539266</v>
      </c>
      <c r="AE44" s="10" t="n">
        <f aca="false">AE34-AE42</f>
        <v>5146.5301822474</v>
      </c>
      <c r="AF44" s="10" t="n">
        <f aca="false">AF34-AF42</f>
        <v>9271.51026386596</v>
      </c>
      <c r="AG44" s="10" t="n">
        <f aca="false">AG34-AG42</f>
        <v>13496.0548162895</v>
      </c>
      <c r="AH44" s="10" t="n">
        <f aca="false">AH34-AH42</f>
        <v>17828.072502298</v>
      </c>
      <c r="AI44" s="10" t="n">
        <f aca="false">AI34-AI42</f>
        <v>22275.5527661453</v>
      </c>
      <c r="AJ44" s="10" t="n">
        <f aca="false">AJ34-AJ42</f>
        <v>26846.5831987212</v>
      </c>
      <c r="AK44" s="10" t="n">
        <f aca="false">AK34-AK42</f>
        <v>31549.3667492845</v>
      </c>
      <c r="AL44" s="10" t="n">
        <f aca="false">AL34-AL42</f>
        <v>36392.2388285132</v>
      </c>
    </row>
    <row r="45" customFormat="false" ht="15" hidden="false" customHeight="false" outlineLevel="0" collapsed="false">
      <c r="A45" s="8" t="s">
        <v>359</v>
      </c>
      <c r="B45" s="1"/>
      <c r="C45" s="36" t="n">
        <f aca="false">IF(C21=0,0,C44/C21)</f>
        <v>-21.2724427480916</v>
      </c>
      <c r="D45" s="36" t="n">
        <f aca="false">IF(D21=0,0,D44/D21)</f>
        <v>-9.72663986852957</v>
      </c>
      <c r="E45" s="36" t="n">
        <f aca="false">IF(E21=0,0,E44/E21)</f>
        <v>-5.92580003075289</v>
      </c>
      <c r="F45" s="36" t="n">
        <f aca="false">IF(F21=0,0,F44/F21)</f>
        <v>-4.19624552914419</v>
      </c>
      <c r="G45" s="36" t="n">
        <f aca="false">IF(G21=0,0,G44/G21)</f>
        <v>-3.05969381476486</v>
      </c>
      <c r="H45" s="36" t="n">
        <f aca="false">IF(H21=0,0,H44/H21)</f>
        <v>-2.31902723959335</v>
      </c>
      <c r="I45" s="36" t="n">
        <f aca="false">IF(I21=0,0,I44/I21)</f>
        <v>-1.80311237465319</v>
      </c>
      <c r="J45" s="36" t="n">
        <f aca="false">IF(J21=0,0,J44/J21)</f>
        <v>-1.42658690578231</v>
      </c>
      <c r="K45" s="36" t="n">
        <f aca="false">IF(K21=0,0,K44/K21)</f>
        <v>-1.14216799001609</v>
      </c>
      <c r="L45" s="36" t="n">
        <f aca="false">IF(L21=0,0,L44/L21)</f>
        <v>-0.921584679645045</v>
      </c>
      <c r="M45" s="36" t="n">
        <f aca="false">IF(M21=0,0,M44/M21)</f>
        <v>-0.746917002244498</v>
      </c>
      <c r="N45" s="36" t="n">
        <f aca="false">IF(N21=0,0,N44/N21)</f>
        <v>-0.606269755693205</v>
      </c>
      <c r="O45" s="36" t="n">
        <f aca="false">IF(O21=0,0,O44/O21)</f>
        <v>-0.675640865633396</v>
      </c>
      <c r="P45" s="36" t="n">
        <f aca="false">IF(P21=0,0,P44/P21)</f>
        <v>-0.554462017317026</v>
      </c>
      <c r="Q45" s="36" t="n">
        <f aca="false">IF(Q21=0,0,Q44/Q21)</f>
        <v>-0.457335438982858</v>
      </c>
      <c r="R45" s="36" t="n">
        <f aca="false">IF(R21=0,0,R44/R21)</f>
        <v>-0.377852745742378</v>
      </c>
      <c r="S45" s="36" t="n">
        <f aca="false">IF(S21=0,0,S44/S21)</f>
        <v>-0.311685916565464</v>
      </c>
      <c r="T45" s="36" t="n">
        <f aca="false">IF(T21=0,0,T44/T21)</f>
        <v>-0.25580810158566</v>
      </c>
      <c r="U45" s="36" t="n">
        <f aca="false">IF(U21=0,0,U44/U21)</f>
        <v>-0.208039983806538</v>
      </c>
      <c r="V45" s="36" t="n">
        <f aca="false">IF(V21=0,0,V44/V21)</f>
        <v>-0.166773377375051</v>
      </c>
      <c r="W45" s="36" t="n">
        <f aca="false">IF(W21=0,0,W44/W21)</f>
        <v>-0.13079624252747</v>
      </c>
      <c r="X45" s="36" t="n">
        <f aca="false">IF(X21=0,0,X44/X21)</f>
        <v>-0.0991782257618774</v>
      </c>
      <c r="Y45" s="36" t="n">
        <f aca="false">IF(Y21=0,0,Y44/Y21)</f>
        <v>-0.0711936468985546</v>
      </c>
      <c r="Z45" s="36" t="n">
        <f aca="false">IF(Z21=0,0,Z44/Z21)</f>
        <v>-0.0462683896214275</v>
      </c>
      <c r="AA45" s="36" t="n">
        <f aca="false">IF(AA21=0,0,AA44/AA21)</f>
        <v>-0.0322958296700472</v>
      </c>
      <c r="AB45" s="36" t="n">
        <f aca="false">IF(AB21=0,0,AB44/AB21)</f>
        <v>-0.019541302403193</v>
      </c>
      <c r="AC45" s="36" t="n">
        <f aca="false">IF(AC21=0,0,AC44/AC21)</f>
        <v>-0.00784429416491777</v>
      </c>
      <c r="AD45" s="36" t="n">
        <f aca="false">IF(AD21=0,0,AD44/AD21)</f>
        <v>0.00292800713857178</v>
      </c>
      <c r="AE45" s="36" t="n">
        <f aca="false">IF(AE21=0,0,AE44/AE21)</f>
        <v>0.0128864199969241</v>
      </c>
      <c r="AF45" s="36" t="n">
        <f aca="false">IF(AF21=0,0,AF44/AF21)</f>
        <v>0.0221241272274149</v>
      </c>
      <c r="AG45" s="36" t="n">
        <f aca="false">IF(AG21=0,0,AG44/AG21)</f>
        <v>0.0307200420686401</v>
      </c>
      <c r="AH45" s="36" t="n">
        <f aca="false">IF(AH21=0,0,AH44/AH21)</f>
        <v>0.0387414359395324</v>
      </c>
      <c r="AI45" s="36" t="n">
        <f aca="false">IF(AI21=0,0,AI44/AI21)</f>
        <v>0.0462460098956864</v>
      </c>
      <c r="AJ45" s="36" t="n">
        <f aca="false">IF(AJ21=0,0,AJ44/AJ21)</f>
        <v>0.0532835422470734</v>
      </c>
      <c r="AK45" s="36" t="n">
        <f aca="false">IF(AK21=0,0,AK44/AK21)</f>
        <v>0.0598972099237073</v>
      </c>
      <c r="AL45" s="36" t="n">
        <f aca="false">IF(AL21=0,0,AL44/AL21)</f>
        <v>0.06612465630513</v>
      </c>
    </row>
    <row r="46" customFormat="false" ht="15" hidden="false" customHeight="false" outlineLevel="0" collapsed="false">
      <c r="A46" s="8" t="s">
        <v>360</v>
      </c>
      <c r="B46" s="1"/>
      <c r="C46" s="35" t="n">
        <f aca="false">-MAX(0,C44)*Assumptions!$B$54</f>
        <v>-0</v>
      </c>
      <c r="D46" s="35" t="n">
        <f aca="false">-MAX(0,D44)*Assumptions!$B$54</f>
        <v>-0</v>
      </c>
      <c r="E46" s="35" t="n">
        <f aca="false">-MAX(0,E44)*Assumptions!$B$54</f>
        <v>-0</v>
      </c>
      <c r="F46" s="35" t="n">
        <f aca="false">-MAX(0,F44)*Assumptions!$B$54</f>
        <v>-0</v>
      </c>
      <c r="G46" s="35" t="n">
        <f aca="false">-MAX(0,G44)*Assumptions!$B$54</f>
        <v>-0</v>
      </c>
      <c r="H46" s="35" t="n">
        <f aca="false">-MAX(0,H44)*Assumptions!$B$54</f>
        <v>-0</v>
      </c>
      <c r="I46" s="35" t="n">
        <f aca="false">-MAX(0,I44)*Assumptions!$B$54</f>
        <v>-0</v>
      </c>
      <c r="J46" s="35" t="n">
        <f aca="false">-MAX(0,J44)*Assumptions!$B$54</f>
        <v>-0</v>
      </c>
      <c r="K46" s="35" t="n">
        <f aca="false">-MAX(0,K44)*Assumptions!$B$54</f>
        <v>-0</v>
      </c>
      <c r="L46" s="35" t="n">
        <f aca="false">-MAX(0,L44)*Assumptions!$B$54</f>
        <v>-0</v>
      </c>
      <c r="M46" s="35" t="n">
        <f aca="false">-MAX(0,M44)*Assumptions!$B$54</f>
        <v>-0</v>
      </c>
      <c r="N46" s="35" t="n">
        <f aca="false">-MAX(0,N44)*Assumptions!$B$54</f>
        <v>-0</v>
      </c>
      <c r="O46" s="35" t="n">
        <f aca="false">-MAX(0,O44)*Assumptions!$B$54</f>
        <v>-0</v>
      </c>
      <c r="P46" s="35" t="n">
        <f aca="false">-MAX(0,P44)*Assumptions!$B$54</f>
        <v>-0</v>
      </c>
      <c r="Q46" s="35" t="n">
        <f aca="false">-MAX(0,Q44)*Assumptions!$B$54</f>
        <v>-0</v>
      </c>
      <c r="R46" s="35" t="n">
        <f aca="false">-MAX(0,R44)*Assumptions!$B$54</f>
        <v>-0</v>
      </c>
      <c r="S46" s="35" t="n">
        <f aca="false">-MAX(0,S44)*Assumptions!$B$54</f>
        <v>-0</v>
      </c>
      <c r="T46" s="35" t="n">
        <f aca="false">-MAX(0,T44)*Assumptions!$B$54</f>
        <v>-0</v>
      </c>
      <c r="U46" s="35" t="n">
        <f aca="false">-MAX(0,U44)*Assumptions!$B$54</f>
        <v>-0</v>
      </c>
      <c r="V46" s="35" t="n">
        <f aca="false">-MAX(0,V44)*Assumptions!$B$54</f>
        <v>-0</v>
      </c>
      <c r="W46" s="35" t="n">
        <f aca="false">-MAX(0,W44)*Assumptions!$B$54</f>
        <v>-0</v>
      </c>
      <c r="X46" s="35" t="n">
        <f aca="false">-MAX(0,X44)*Assumptions!$B$54</f>
        <v>-0</v>
      </c>
      <c r="Y46" s="35" t="n">
        <f aca="false">-MAX(0,Y44)*Assumptions!$B$54</f>
        <v>-0</v>
      </c>
      <c r="Z46" s="35" t="n">
        <f aca="false">-MAX(0,Z44)*Assumptions!$B$54</f>
        <v>-0</v>
      </c>
      <c r="AA46" s="35" t="n">
        <f aca="false">-MAX(0,AA44)*Assumptions!$B$54</f>
        <v>-0</v>
      </c>
      <c r="AB46" s="35" t="n">
        <f aca="false">-MAX(0,AB44)*Assumptions!$B$54</f>
        <v>-0</v>
      </c>
      <c r="AC46" s="35" t="n">
        <f aca="false">-MAX(0,AC44)*Assumptions!$B$54</f>
        <v>-0</v>
      </c>
      <c r="AD46" s="35" t="n">
        <f aca="false">-MAX(0,AD44)*Assumptions!$B$54</f>
        <v>-278.317281348165</v>
      </c>
      <c r="AE46" s="35" t="n">
        <f aca="false">-MAX(0,AE44)*Assumptions!$B$54</f>
        <v>-1286.63254556185</v>
      </c>
      <c r="AF46" s="35" t="n">
        <f aca="false">-MAX(0,AF44)*Assumptions!$B$54</f>
        <v>-2317.87756596649</v>
      </c>
      <c r="AG46" s="35" t="n">
        <f aca="false">-MAX(0,AG44)*Assumptions!$B$54</f>
        <v>-3374.01370407239</v>
      </c>
      <c r="AH46" s="35" t="n">
        <f aca="false">-MAX(0,AH44)*Assumptions!$B$54</f>
        <v>-4457.01812557451</v>
      </c>
      <c r="AI46" s="35" t="n">
        <f aca="false">-MAX(0,AI44)*Assumptions!$B$54</f>
        <v>-5568.88819153632</v>
      </c>
      <c r="AJ46" s="35" t="n">
        <f aca="false">-MAX(0,AJ44)*Assumptions!$B$54</f>
        <v>-6711.64579968031</v>
      </c>
      <c r="AK46" s="35" t="n">
        <f aca="false">-MAX(0,AK44)*Assumptions!$B$54</f>
        <v>-7887.34168732112</v>
      </c>
      <c r="AL46" s="35" t="n">
        <f aca="false">-MAX(0,AL44)*Assumptions!$B$54</f>
        <v>-9098.0597071283</v>
      </c>
    </row>
    <row r="47" customFormat="false" ht="15" hidden="false" customHeight="false" outlineLevel="0" collapsed="false">
      <c r="A47" s="6" t="s">
        <v>70</v>
      </c>
      <c r="B47" s="1"/>
      <c r="C47" s="10" t="n">
        <f aca="false">C44+C46</f>
        <v>-55733.8</v>
      </c>
      <c r="D47" s="10" t="n">
        <f aca="false">D44+D46</f>
        <v>-55610.8742608696</v>
      </c>
      <c r="E47" s="10" t="n">
        <f aca="false">E44+E46</f>
        <v>-55416.6781634783</v>
      </c>
      <c r="F47" s="10" t="n">
        <f aca="false">F44+F46</f>
        <v>-57038.8673012174</v>
      </c>
      <c r="G47" s="10" t="n">
        <f aca="false">G44+G46</f>
        <v>-56670.4731749426</v>
      </c>
      <c r="H47" s="10" t="n">
        <f aca="false">H44+H46</f>
        <v>-56194.6099323381</v>
      </c>
      <c r="I47" s="10" t="n">
        <f aca="false">I44+I46</f>
        <v>-55594.1351760279</v>
      </c>
      <c r="J47" s="10" t="n">
        <f aca="false">J44+J46</f>
        <v>-54848.7585070185</v>
      </c>
      <c r="K47" s="10" t="n">
        <f aca="false">K44+K46</f>
        <v>-53934.5905774818</v>
      </c>
      <c r="L47" s="10" t="n">
        <f aca="false">L44+L46</f>
        <v>-52823.6244136833</v>
      </c>
      <c r="M47" s="10" t="n">
        <f aca="false">M44+M46</f>
        <v>-51483.1396197815</v>
      </c>
      <c r="N47" s="10" t="n">
        <f aca="false">N44+N46</f>
        <v>-49875.0187678338</v>
      </c>
      <c r="O47" s="10" t="n">
        <f aca="false">O44+O46</f>
        <v>-65085.2822481616</v>
      </c>
      <c r="P47" s="10" t="n">
        <f aca="false">P44+P46</f>
        <v>-61627.7973829655</v>
      </c>
      <c r="Q47" s="10" t="n">
        <f aca="false">Q44+Q46</f>
        <v>-57965.1430173811</v>
      </c>
      <c r="R47" s="10" t="n">
        <f aca="false">R44+R46</f>
        <v>-54089.9811595246</v>
      </c>
      <c r="S47" s="10" t="n">
        <f aca="false">S44+S46</f>
        <v>-49994.0650913727</v>
      </c>
      <c r="T47" s="10" t="n">
        <f aca="false">T44+T46</f>
        <v>-45668.2436494852</v>
      </c>
      <c r="U47" s="10" t="n">
        <f aca="false">U44+U46</f>
        <v>-41102.4618134322</v>
      </c>
      <c r="V47" s="10" t="n">
        <f aca="false">V44+V46</f>
        <v>-36285.7577234824</v>
      </c>
      <c r="W47" s="10" t="n">
        <f aca="false">W44+W46</f>
        <v>-31206.2562336459</v>
      </c>
      <c r="X47" s="10" t="n">
        <f aca="false">X44+X46</f>
        <v>-25851.1590914759</v>
      </c>
      <c r="Y47" s="10" t="n">
        <f aca="false">Y44+Y46</f>
        <v>-20206.7318220509</v>
      </c>
      <c r="Z47" s="10" t="n">
        <f aca="false">Z44+Z46</f>
        <v>-14258.2873802291</v>
      </c>
      <c r="AA47" s="10" t="n">
        <f aca="false">AA44+AA46</f>
        <v>-10514.0822859083</v>
      </c>
      <c r="AB47" s="10" t="n">
        <f aca="false">AB44+AB46</f>
        <v>-6709.26878318656</v>
      </c>
      <c r="AC47" s="10" t="n">
        <f aca="false">AC44+AC46</f>
        <v>-2836.07294800528</v>
      </c>
      <c r="AD47" s="10" t="n">
        <f aca="false">AD44+AD46</f>
        <v>834.951844044495</v>
      </c>
      <c r="AE47" s="10" t="n">
        <f aca="false">AE44+AE46</f>
        <v>3859.89763668555</v>
      </c>
      <c r="AF47" s="10" t="n">
        <f aca="false">AF44+AF46</f>
        <v>6953.63269789947</v>
      </c>
      <c r="AG47" s="10" t="n">
        <f aca="false">AG44+AG46</f>
        <v>10122.0411122172</v>
      </c>
      <c r="AH47" s="10" t="n">
        <f aca="false">AH44+AH46</f>
        <v>13371.0543767235</v>
      </c>
      <c r="AI47" s="10" t="n">
        <f aca="false">AI44+AI46</f>
        <v>16706.664574609</v>
      </c>
      <c r="AJ47" s="10" t="n">
        <f aca="false">AJ44+AJ46</f>
        <v>20134.9373990409</v>
      </c>
      <c r="AK47" s="10" t="n">
        <f aca="false">AK44+AK46</f>
        <v>23662.0250619634</v>
      </c>
      <c r="AL47" s="10" t="n">
        <f aca="false">AL44+AL46</f>
        <v>27294.1791213849</v>
      </c>
    </row>
    <row r="48" customFormat="false" ht="15" hidden="false" customHeight="false" outlineLevel="0" collapsed="false">
      <c r="A48" s="8" t="s">
        <v>361</v>
      </c>
      <c r="B48" s="1"/>
      <c r="C48" s="30" t="n">
        <f aca="false">IF(C44&gt;0,C4,999)</f>
        <v>999</v>
      </c>
      <c r="D48" s="30" t="n">
        <f aca="false">IF(D44&gt;0,D4,999)</f>
        <v>999</v>
      </c>
      <c r="E48" s="30" t="n">
        <f aca="false">IF(E44&gt;0,E4,999)</f>
        <v>999</v>
      </c>
      <c r="F48" s="30" t="n">
        <f aca="false">IF(F44&gt;0,F4,999)</f>
        <v>999</v>
      </c>
      <c r="G48" s="30" t="n">
        <f aca="false">IF(G44&gt;0,G4,999)</f>
        <v>999</v>
      </c>
      <c r="H48" s="30" t="n">
        <f aca="false">IF(H44&gt;0,H4,999)</f>
        <v>999</v>
      </c>
      <c r="I48" s="30" t="n">
        <f aca="false">IF(I44&gt;0,I4,999)</f>
        <v>999</v>
      </c>
      <c r="J48" s="30" t="n">
        <f aca="false">IF(J44&gt;0,J4,999)</f>
        <v>999</v>
      </c>
      <c r="K48" s="30" t="n">
        <f aca="false">IF(K44&gt;0,K4,999)</f>
        <v>999</v>
      </c>
      <c r="L48" s="30" t="n">
        <f aca="false">IF(L44&gt;0,L4,999)</f>
        <v>999</v>
      </c>
      <c r="M48" s="30" t="n">
        <f aca="false">IF(M44&gt;0,M4,999)</f>
        <v>999</v>
      </c>
      <c r="N48" s="30" t="n">
        <f aca="false">IF(N44&gt;0,N4,999)</f>
        <v>999</v>
      </c>
      <c r="O48" s="30" t="n">
        <f aca="false">IF(O44&gt;0,O4,999)</f>
        <v>999</v>
      </c>
      <c r="P48" s="30" t="n">
        <f aca="false">IF(P44&gt;0,P4,999)</f>
        <v>999</v>
      </c>
      <c r="Q48" s="30" t="n">
        <f aca="false">IF(Q44&gt;0,Q4,999)</f>
        <v>999</v>
      </c>
      <c r="R48" s="30" t="n">
        <f aca="false">IF(R44&gt;0,R4,999)</f>
        <v>999</v>
      </c>
      <c r="S48" s="30" t="n">
        <f aca="false">IF(S44&gt;0,S4,999)</f>
        <v>999</v>
      </c>
      <c r="T48" s="30" t="n">
        <f aca="false">IF(T44&gt;0,T4,999)</f>
        <v>999</v>
      </c>
      <c r="U48" s="30" t="n">
        <f aca="false">IF(U44&gt;0,U4,999)</f>
        <v>999</v>
      </c>
      <c r="V48" s="30" t="n">
        <f aca="false">IF(V44&gt;0,V4,999)</f>
        <v>999</v>
      </c>
      <c r="W48" s="30" t="n">
        <f aca="false">IF(W44&gt;0,W4,999)</f>
        <v>999</v>
      </c>
      <c r="X48" s="30" t="n">
        <f aca="false">IF(X44&gt;0,X4,999)</f>
        <v>999</v>
      </c>
      <c r="Y48" s="30" t="n">
        <f aca="false">IF(Y44&gt;0,Y4,999)</f>
        <v>999</v>
      </c>
      <c r="Z48" s="30" t="n">
        <f aca="false">IF(Z44&gt;0,Z4,999)</f>
        <v>999</v>
      </c>
      <c r="AA48" s="30" t="n">
        <f aca="false">IF(AA44&gt;0,AA4,999)</f>
        <v>999</v>
      </c>
      <c r="AB48" s="30" t="n">
        <f aca="false">IF(AB44&gt;0,AB4,999)</f>
        <v>999</v>
      </c>
      <c r="AC48" s="30" t="n">
        <f aca="false">IF(AC44&gt;0,AC4,999)</f>
        <v>999</v>
      </c>
      <c r="AD48" s="30" t="n">
        <f aca="false">IF(AD44&gt;0,AD4,999)</f>
        <v>28</v>
      </c>
      <c r="AE48" s="30" t="n">
        <f aca="false">IF(AE44&gt;0,AE4,999)</f>
        <v>29</v>
      </c>
      <c r="AF48" s="30" t="n">
        <f aca="false">IF(AF44&gt;0,AF4,999)</f>
        <v>30</v>
      </c>
      <c r="AG48" s="30" t="n">
        <f aca="false">IF(AG44&gt;0,AG4,999)</f>
        <v>31</v>
      </c>
      <c r="AH48" s="30" t="n">
        <f aca="false">IF(AH44&gt;0,AH4,999)</f>
        <v>32</v>
      </c>
      <c r="AI48" s="30" t="n">
        <f aca="false">IF(AI44&gt;0,AI4,999)</f>
        <v>33</v>
      </c>
      <c r="AJ48" s="30" t="n">
        <f aca="false">IF(AJ44&gt;0,AJ4,999)</f>
        <v>34</v>
      </c>
      <c r="AK48" s="30" t="n">
        <f aca="false">IF(AK44&gt;0,AK4,999)</f>
        <v>35</v>
      </c>
      <c r="AL48" s="30" t="n">
        <f aca="false">IF(AL44&gt;0,AL4,999)</f>
        <v>36</v>
      </c>
    </row>
    <row r="49" customFormat="false" ht="15" hidden="false" customHeight="false" outlineLevel="0" collapsed="false">
      <c r="A49" s="31" t="s">
        <v>362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0" customFormat="false" ht="15" hidden="false" customHeight="false" outlineLevel="0" collapsed="false">
      <c r="A50" s="8" t="s">
        <v>363</v>
      </c>
      <c r="B50" s="1"/>
      <c r="C50" s="35" t="n">
        <f aca="false">-C11*(1+Assumptions!$B$18)*Assumptions!$B$28</f>
        <v>-1200</v>
      </c>
      <c r="D50" s="35" t="n">
        <f aca="false">-D11*(1+Assumptions!$B$18)*Assumptions!$B$28</f>
        <v>-2633.21739130435</v>
      </c>
      <c r="E50" s="35" t="n">
        <f aca="false">-E11*(1+Assumptions!$B$18)*Assumptions!$B$28</f>
        <v>-4328.38956521739</v>
      </c>
      <c r="F50" s="35" t="n">
        <f aca="false">-F11*(1+Assumptions!$B$18)*Assumptions!$B$28</f>
        <v>-6319.18434782609</v>
      </c>
      <c r="G50" s="35" t="n">
        <f aca="false">-G11*(1+Assumptions!$B$18)*Assumptions!$B$28</f>
        <v>-8644.83830817391</v>
      </c>
      <c r="H50" s="35" t="n">
        <f aca="false">-H11*(1+Assumptions!$B$18)*Assumptions!$B$28</f>
        <v>-11350.8879930157</v>
      </c>
      <c r="I50" s="35" t="n">
        <f aca="false">-I11*(1+Assumptions!$B$18)*Assumptions!$B$28</f>
        <v>-14490.006383429</v>
      </c>
      <c r="J50" s="35" t="n">
        <f aca="false">-J11*(1+Assumptions!$B$18)*Assumptions!$B$28</f>
        <v>-18122.9585405072</v>
      </c>
      <c r="K50" s="35" t="n">
        <f aca="false">-K11*(1+Assumptions!$B$18)*Assumptions!$B$28</f>
        <v>-22319.6922993493</v>
      </c>
      <c r="L50" s="35" t="n">
        <f aca="false">-L11*(1+Assumptions!$B$18)*Assumptions!$B$28</f>
        <v>-27160.5820116231</v>
      </c>
      <c r="M50" s="35" t="n">
        <f aca="false">-M11*(1+Assumptions!$B$18)*Assumptions!$B$28</f>
        <v>-32737.8457599014</v>
      </c>
      <c r="N50" s="35" t="n">
        <f aca="false">-N11*(1+Assumptions!$B$18)*Assumptions!$B$28</f>
        <v>-39157.159208824</v>
      </c>
      <c r="O50" s="35" t="n">
        <f aca="false">-O11*(1+Assumptions!$B$18)*Assumptions!$B$28</f>
        <v>-45944.206588042</v>
      </c>
      <c r="P50" s="35" t="n">
        <f aca="false">-P11*(1+Assumptions!$B$18)*Assumptions!$B$28</f>
        <v>-53110.2989811796</v>
      </c>
      <c r="Q50" s="35" t="n">
        <f aca="false">-Q11*(1+Assumptions!$B$18)*Assumptions!$B$28</f>
        <v>-60668.3407419091</v>
      </c>
      <c r="R50" s="35" t="n">
        <f aca="false">-R11*(1+Assumptions!$B$18)*Assumptions!$B$28</f>
        <v>-68632.8138591282</v>
      </c>
      <c r="S50" s="35" t="n">
        <f aca="false">-S11*(1+Assumptions!$B$18)*Assumptions!$B$28</f>
        <v>-77019.768925636</v>
      </c>
      <c r="T50" s="35" t="n">
        <f aca="false">-T11*(1+Assumptions!$B$18)*Assumptions!$B$28</f>
        <v>-85846.8224651751</v>
      </c>
      <c r="U50" s="35" t="n">
        <f aca="false">-U11*(1+Assumptions!$B$18)*Assumptions!$B$28</f>
        <v>-95133.1604008919</v>
      </c>
      <c r="V50" s="35" t="n">
        <f aca="false">-V11*(1+Assumptions!$B$18)*Assumptions!$B$28</f>
        <v>-104899.547474967</v>
      </c>
      <c r="W50" s="35" t="n">
        <f aca="false">-W11*(1+Assumptions!$B$18)*Assumptions!$B$28</f>
        <v>-115168.342454507</v>
      </c>
      <c r="X50" s="35" t="n">
        <f aca="false">-X11*(1+Assumptions!$B$18)*Assumptions!$B$28</f>
        <v>-125963.518982888</v>
      </c>
      <c r="Y50" s="35" t="n">
        <f aca="false">-Y11*(1+Assumptions!$B$18)*Assumptions!$B$28</f>
        <v>-137310.691958691</v>
      </c>
      <c r="Z50" s="35" t="n">
        <f aca="false">-Z11*(1+Assumptions!$B$18)*Assumptions!$B$28</f>
        <v>-149237.149346291</v>
      </c>
      <c r="AA50" s="35" t="n">
        <f aca="false">-AA11*(1+Assumptions!$B$18)*Assumptions!$B$28</f>
        <v>-157659.044698837</v>
      </c>
      <c r="AB50" s="35" t="n">
        <f aca="false">-AB11*(1+Assumptions!$B$18)*Assumptions!$B$28</f>
        <v>-166270.671302763</v>
      </c>
      <c r="AC50" s="35" t="n">
        <f aca="false">-AC11*(1+Assumptions!$B$18)*Assumptions!$B$28</f>
        <v>-175088.447081887</v>
      </c>
      <c r="AD50" s="35" t="n">
        <f aca="false">-AD11*(1+Assumptions!$B$18)*Assumptions!$B$28</f>
        <v>-184128.916956556</v>
      </c>
      <c r="AE50" s="35" t="n">
        <f aca="false">-AE11*(1+Assumptions!$B$18)*Assumptions!$B$28</f>
        <v>-193408.789706727</v>
      </c>
      <c r="AF50" s="35" t="n">
        <f aca="false">-AF11*(1+Assumptions!$B$18)*Assumptions!$B$28</f>
        <v>-202944.974402591</v>
      </c>
      <c r="AG50" s="35" t="n">
        <f aca="false">-AG11*(1+Assumptions!$B$18)*Assumptions!$B$28</f>
        <v>-212754.616499834</v>
      </c>
      <c r="AH50" s="35" t="n">
        <f aca="false">-AH11*(1+Assumptions!$B$18)*Assumptions!$B$28</f>
        <v>-222855.133693699</v>
      </c>
      <c r="AI50" s="35" t="n">
        <f aca="false">-AI11*(1+Assumptions!$B$18)*Assumptions!$B$28</f>
        <v>-233264.251623285</v>
      </c>
      <c r="AJ50" s="35" t="n">
        <f aca="false">-AJ11*(1+Assumptions!$B$18)*Assumptions!$B$28</f>
        <v>-244000.039515145</v>
      </c>
      <c r="AK50" s="35" t="n">
        <f aca="false">-AK11*(1+Assumptions!$B$18)*Assumptions!$B$28</f>
        <v>-255080.945853064</v>
      </c>
      <c r="AL50" s="35" t="n">
        <f aca="false">-AL11*(1+Assumptions!$B$18)*Assumptions!$B$28</f>
        <v>-266525.83415906</v>
      </c>
    </row>
    <row r="51" customFormat="false" ht="15" hidden="false" customHeight="false" outlineLevel="0" collapsed="false">
      <c r="A51" s="8" t="s">
        <v>364</v>
      </c>
      <c r="B51" s="1"/>
      <c r="C51" s="35" t="n">
        <f aca="true">IF(C4&gt;Assumptions!$B$29,-OFFSET(C50,0,-Assumptions!$B$29),0)</f>
        <v>0</v>
      </c>
      <c r="D51" s="35" t="n">
        <f aca="true">IF(D4&gt;Assumptions!$B$29,-OFFSET(D50,0,-Assumptions!$B$29),0)</f>
        <v>0</v>
      </c>
      <c r="E51" s="35" t="n">
        <f aca="true">IF(E4&gt;Assumptions!$B$29,-OFFSET(E50,0,-Assumptions!$B$29),0)</f>
        <v>0</v>
      </c>
      <c r="F51" s="35" t="n">
        <f aca="true">IF(F4&gt;Assumptions!$B$29,-OFFSET(F50,0,-Assumptions!$B$29),0)</f>
        <v>0</v>
      </c>
      <c r="G51" s="35" t="n">
        <f aca="true">IF(G4&gt;Assumptions!$B$29,-OFFSET(G50,0,-Assumptions!$B$29),0)</f>
        <v>0</v>
      </c>
      <c r="H51" s="35" t="n">
        <f aca="true">IF(H4&gt;Assumptions!$B$29,-OFFSET(H50,0,-Assumptions!$B$29),0)</f>
        <v>0</v>
      </c>
      <c r="I51" s="35" t="n">
        <f aca="true">IF(I4&gt;Assumptions!$B$29,-OFFSET(I50,0,-Assumptions!$B$29),0)</f>
        <v>1200</v>
      </c>
      <c r="J51" s="35" t="n">
        <f aca="true">IF(J4&gt;Assumptions!$B$29,-OFFSET(J50,0,-Assumptions!$B$29),0)</f>
        <v>2633.21739130435</v>
      </c>
      <c r="K51" s="35" t="n">
        <f aca="true">IF(K4&gt;Assumptions!$B$29,-OFFSET(K50,0,-Assumptions!$B$29),0)</f>
        <v>4328.38956521739</v>
      </c>
      <c r="L51" s="35" t="n">
        <f aca="true">IF(L4&gt;Assumptions!$B$29,-OFFSET(L50,0,-Assumptions!$B$29),0)</f>
        <v>6319.18434782609</v>
      </c>
      <c r="M51" s="35" t="n">
        <f aca="true">IF(M4&gt;Assumptions!$B$29,-OFFSET(M50,0,-Assumptions!$B$29),0)</f>
        <v>8644.83830817391</v>
      </c>
      <c r="N51" s="35" t="n">
        <f aca="true">IF(N4&gt;Assumptions!$B$29,-OFFSET(N50,0,-Assumptions!$B$29),0)</f>
        <v>11350.8879930157</v>
      </c>
      <c r="O51" s="35" t="n">
        <f aca="true">IF(O4&gt;Assumptions!$B$29,-OFFSET(O50,0,-Assumptions!$B$29),0)</f>
        <v>14490.006383429</v>
      </c>
      <c r="P51" s="35" t="n">
        <f aca="true">IF(P4&gt;Assumptions!$B$29,-OFFSET(P50,0,-Assumptions!$B$29),0)</f>
        <v>18122.9585405072</v>
      </c>
      <c r="Q51" s="35" t="n">
        <f aca="true">IF(Q4&gt;Assumptions!$B$29,-OFFSET(Q50,0,-Assumptions!$B$29),0)</f>
        <v>22319.6922993493</v>
      </c>
      <c r="R51" s="35" t="n">
        <f aca="true">IF(R4&gt;Assumptions!$B$29,-OFFSET(R50,0,-Assumptions!$B$29),0)</f>
        <v>27160.5820116231</v>
      </c>
      <c r="S51" s="35" t="n">
        <f aca="true">IF(S4&gt;Assumptions!$B$29,-OFFSET(S50,0,-Assumptions!$B$29),0)</f>
        <v>32737.8457599014</v>
      </c>
      <c r="T51" s="35" t="n">
        <f aca="true">IF(T4&gt;Assumptions!$B$29,-OFFSET(T50,0,-Assumptions!$B$29),0)</f>
        <v>39157.159208824</v>
      </c>
      <c r="U51" s="35" t="n">
        <f aca="true">IF(U4&gt;Assumptions!$B$29,-OFFSET(U50,0,-Assumptions!$B$29),0)</f>
        <v>45944.206588042</v>
      </c>
      <c r="V51" s="35" t="n">
        <f aca="true">IF(V4&gt;Assumptions!$B$29,-OFFSET(V50,0,-Assumptions!$B$29),0)</f>
        <v>53110.2989811796</v>
      </c>
      <c r="W51" s="35" t="n">
        <f aca="true">IF(W4&gt;Assumptions!$B$29,-OFFSET(W50,0,-Assumptions!$B$29),0)</f>
        <v>60668.3407419091</v>
      </c>
      <c r="X51" s="35" t="n">
        <f aca="true">IF(X4&gt;Assumptions!$B$29,-OFFSET(X50,0,-Assumptions!$B$29),0)</f>
        <v>68632.8138591282</v>
      </c>
      <c r="Y51" s="35" t="n">
        <f aca="true">IF(Y4&gt;Assumptions!$B$29,-OFFSET(Y50,0,-Assumptions!$B$29),0)</f>
        <v>77019.768925636</v>
      </c>
      <c r="Z51" s="35" t="n">
        <f aca="true">IF(Z4&gt;Assumptions!$B$29,-OFFSET(Z50,0,-Assumptions!$B$29),0)</f>
        <v>85846.8224651751</v>
      </c>
      <c r="AA51" s="35" t="n">
        <f aca="true">IF(AA4&gt;Assumptions!$B$29,-OFFSET(AA50,0,-Assumptions!$B$29),0)</f>
        <v>95133.1604008919</v>
      </c>
      <c r="AB51" s="35" t="n">
        <f aca="true">IF(AB4&gt;Assumptions!$B$29,-OFFSET(AB50,0,-Assumptions!$B$29),0)</f>
        <v>104899.547474967</v>
      </c>
      <c r="AC51" s="35" t="n">
        <f aca="true">IF(AC4&gt;Assumptions!$B$29,-OFFSET(AC50,0,-Assumptions!$B$29),0)</f>
        <v>115168.342454507</v>
      </c>
      <c r="AD51" s="35" t="n">
        <f aca="true">IF(AD4&gt;Assumptions!$B$29,-OFFSET(AD50,0,-Assumptions!$B$29),0)</f>
        <v>125963.518982888</v>
      </c>
      <c r="AE51" s="35" t="n">
        <f aca="true">IF(AE4&gt;Assumptions!$B$29,-OFFSET(AE50,0,-Assumptions!$B$29),0)</f>
        <v>137310.691958691</v>
      </c>
      <c r="AF51" s="35" t="n">
        <f aca="true">IF(AF4&gt;Assumptions!$B$29,-OFFSET(AF50,0,-Assumptions!$B$29),0)</f>
        <v>149237.149346291</v>
      </c>
      <c r="AG51" s="35" t="n">
        <f aca="true">IF(AG4&gt;Assumptions!$B$29,-OFFSET(AG50,0,-Assumptions!$B$29),0)</f>
        <v>157659.044698837</v>
      </c>
      <c r="AH51" s="35" t="n">
        <f aca="true">IF(AH4&gt;Assumptions!$B$29,-OFFSET(AH50,0,-Assumptions!$B$29),0)</f>
        <v>166270.671302763</v>
      </c>
      <c r="AI51" s="35" t="n">
        <f aca="true">IF(AI4&gt;Assumptions!$B$29,-OFFSET(AI50,0,-Assumptions!$B$29),0)</f>
        <v>175088.447081887</v>
      </c>
      <c r="AJ51" s="35" t="n">
        <f aca="true">IF(AJ4&gt;Assumptions!$B$29,-OFFSET(AJ50,0,-Assumptions!$B$29),0)</f>
        <v>184128.916956556</v>
      </c>
      <c r="AK51" s="35" t="n">
        <f aca="true">IF(AK4&gt;Assumptions!$B$29,-OFFSET(AK50,0,-Assumptions!$B$29),0)</f>
        <v>193408.789706727</v>
      </c>
      <c r="AL51" s="35" t="n">
        <f aca="true">IF(AL4&gt;Assumptions!$B$29,-OFFSET(AL50,0,-Assumptions!$B$29),0)</f>
        <v>202944.974402591</v>
      </c>
    </row>
    <row r="52" customFormat="false" ht="15" hidden="false" customHeight="false" outlineLevel="0" collapsed="false">
      <c r="A52" s="6" t="s">
        <v>72</v>
      </c>
      <c r="B52" s="1"/>
      <c r="C52" s="10" t="n">
        <f aca="false">C47+C50+C51</f>
        <v>-56933.8</v>
      </c>
      <c r="D52" s="10" t="n">
        <f aca="false">D47+D50+D51</f>
        <v>-58244.0916521739</v>
      </c>
      <c r="E52" s="10" t="n">
        <f aca="false">E47+E50+E51</f>
        <v>-59745.0677286957</v>
      </c>
      <c r="F52" s="10" t="n">
        <f aca="false">F47+F50+F51</f>
        <v>-63358.0516490435</v>
      </c>
      <c r="G52" s="10" t="n">
        <f aca="false">G47+G50+G51</f>
        <v>-65315.3114831165</v>
      </c>
      <c r="H52" s="10" t="n">
        <f aca="false">H47+H50+H51</f>
        <v>-67545.4979253538</v>
      </c>
      <c r="I52" s="10" t="n">
        <f aca="false">I47+I50+I51</f>
        <v>-68884.1415594569</v>
      </c>
      <c r="J52" s="10" t="n">
        <f aca="false">J47+J50+J51</f>
        <v>-70338.4996562214</v>
      </c>
      <c r="K52" s="10" t="n">
        <f aca="false">K47+K50+K51</f>
        <v>-71925.8933116137</v>
      </c>
      <c r="L52" s="10" t="n">
        <f aca="false">L47+L50+L51</f>
        <v>-73665.0220774804</v>
      </c>
      <c r="M52" s="10" t="n">
        <f aca="false">M47+M50+M51</f>
        <v>-75576.147071509</v>
      </c>
      <c r="N52" s="10" t="n">
        <f aca="false">N47+N50+N51</f>
        <v>-77681.2899836421</v>
      </c>
      <c r="O52" s="10" t="n">
        <f aca="false">O47+O50+O51</f>
        <v>-96539.4824527746</v>
      </c>
      <c r="P52" s="10" t="n">
        <f aca="false">P47+P50+P51</f>
        <v>-96615.1378236379</v>
      </c>
      <c r="Q52" s="10" t="n">
        <f aca="false">Q47+Q50+Q51</f>
        <v>-96313.7914599409</v>
      </c>
      <c r="R52" s="10" t="n">
        <f aca="false">R47+R50+R51</f>
        <v>-95562.2130070296</v>
      </c>
      <c r="S52" s="10" t="n">
        <f aca="false">S47+S50+S51</f>
        <v>-94275.9882571073</v>
      </c>
      <c r="T52" s="10" t="n">
        <f aca="false">T47+T50+T51</f>
        <v>-92357.9069058364</v>
      </c>
      <c r="U52" s="10" t="n">
        <f aca="false">U47+U50+U51</f>
        <v>-90291.4156262822</v>
      </c>
      <c r="V52" s="10" t="n">
        <f aca="false">V47+V50+V51</f>
        <v>-88075.0062172695</v>
      </c>
      <c r="W52" s="10" t="n">
        <f aca="false">W47+W50+W51</f>
        <v>-85706.2579462435</v>
      </c>
      <c r="X52" s="10" t="n">
        <f aca="false">X47+X50+X51</f>
        <v>-83181.8642152356</v>
      </c>
      <c r="Y52" s="10" t="n">
        <f aca="false">Y47+Y50+Y51</f>
        <v>-80497.6548551055</v>
      </c>
      <c r="Z52" s="10" t="n">
        <f aca="false">Z47+Z50+Z51</f>
        <v>-77648.6142613453</v>
      </c>
      <c r="AA52" s="10" t="n">
        <f aca="false">AA47+AA50+AA51</f>
        <v>-73039.9665838533</v>
      </c>
      <c r="AB52" s="10" t="n">
        <f aca="false">AB47+AB50+AB51</f>
        <v>-68080.3926109825</v>
      </c>
      <c r="AC52" s="10" t="n">
        <f aca="false">AC47+AC50+AC51</f>
        <v>-62756.1775753857</v>
      </c>
      <c r="AD52" s="10" t="n">
        <f aca="false">AD47+AD50+AD51</f>
        <v>-57330.4461296233</v>
      </c>
      <c r="AE52" s="10" t="n">
        <f aca="false">AE47+AE50+AE51</f>
        <v>-52238.2001113513</v>
      </c>
      <c r="AF52" s="10" t="n">
        <f aca="false">AF47+AF50+AF51</f>
        <v>-46754.1923584007</v>
      </c>
      <c r="AG52" s="10" t="n">
        <f aca="false">AG47+AG50+AG51</f>
        <v>-44973.5306887804</v>
      </c>
      <c r="AH52" s="10" t="n">
        <f aca="false">AH47+AH50+AH51</f>
        <v>-43213.4080142126</v>
      </c>
      <c r="AI52" s="10" t="n">
        <f aca="false">AI47+AI50+AI51</f>
        <v>-41469.1399667893</v>
      </c>
      <c r="AJ52" s="10" t="n">
        <f aca="false">AJ47+AJ50+AJ51</f>
        <v>-39736.1851595484</v>
      </c>
      <c r="AK52" s="10" t="n">
        <f aca="false">AK47+AK50+AK51</f>
        <v>-38010.1310843727</v>
      </c>
      <c r="AL52" s="10" t="n">
        <f aca="false">AL47+AL50+AL51</f>
        <v>-36286.6806350835</v>
      </c>
    </row>
    <row r="53" customFormat="false" ht="15" hidden="false" customHeight="false" outlineLevel="0" collapsed="false">
      <c r="A53" s="6" t="s">
        <v>365</v>
      </c>
      <c r="B53" s="1"/>
      <c r="C53" s="10" t="n">
        <f aca="false">Assumptions!$B$55-'Setup Costs'!$B$17+C52</f>
        <v>111860.2</v>
      </c>
      <c r="D53" s="10" t="n">
        <f aca="false">C53+D52</f>
        <v>53616.1083478261</v>
      </c>
      <c r="E53" s="10" t="n">
        <f aca="false">D53+E52</f>
        <v>-6128.95938086956</v>
      </c>
      <c r="F53" s="10" t="n">
        <f aca="false">E53+F52</f>
        <v>-69487.011029913</v>
      </c>
      <c r="G53" s="10" t="n">
        <f aca="false">F53+G52</f>
        <v>-134802.32251303</v>
      </c>
      <c r="H53" s="10" t="n">
        <f aca="false">G53+H52</f>
        <v>-202347.820438383</v>
      </c>
      <c r="I53" s="10" t="n">
        <f aca="false">H53+I52</f>
        <v>-271231.96199784</v>
      </c>
      <c r="J53" s="10" t="n">
        <f aca="false">I53+J52</f>
        <v>-341570.461654062</v>
      </c>
      <c r="K53" s="10" t="n">
        <f aca="false">J53+K52</f>
        <v>-413496.354965675</v>
      </c>
      <c r="L53" s="10" t="n">
        <f aca="false">K53+L52</f>
        <v>-487161.377043156</v>
      </c>
      <c r="M53" s="10" t="n">
        <f aca="false">L53+M52</f>
        <v>-562737.524114665</v>
      </c>
      <c r="N53" s="10" t="n">
        <f aca="false">M53+N52</f>
        <v>-640418.814098307</v>
      </c>
      <c r="O53" s="10" t="n">
        <f aca="false">N53+O52</f>
        <v>-736958.296551081</v>
      </c>
      <c r="P53" s="10" t="n">
        <f aca="false">O53+P52</f>
        <v>-833573.434374719</v>
      </c>
      <c r="Q53" s="10" t="n">
        <f aca="false">P53+Q52</f>
        <v>-929887.22583466</v>
      </c>
      <c r="R53" s="10" t="n">
        <f aca="false">Q53+R52</f>
        <v>-1025449.43884169</v>
      </c>
      <c r="S53" s="10" t="n">
        <f aca="false">R53+S52</f>
        <v>-1119725.4270988</v>
      </c>
      <c r="T53" s="10" t="n">
        <f aca="false">S53+T52</f>
        <v>-1212083.33400463</v>
      </c>
      <c r="U53" s="10" t="n">
        <f aca="false">T53+U52</f>
        <v>-1302374.74963092</v>
      </c>
      <c r="V53" s="10" t="n">
        <f aca="false">U53+V52</f>
        <v>-1390449.75584819</v>
      </c>
      <c r="W53" s="10" t="n">
        <f aca="false">V53+W52</f>
        <v>-1476156.01379443</v>
      </c>
      <c r="X53" s="10" t="n">
        <f aca="false">W53+X52</f>
        <v>-1559337.87800966</v>
      </c>
      <c r="Y53" s="10" t="n">
        <f aca="false">X53+Y52</f>
        <v>-1639835.53286477</v>
      </c>
      <c r="Z53" s="10" t="n">
        <f aca="false">Y53+Z52</f>
        <v>-1717484.14712611</v>
      </c>
      <c r="AA53" s="10" t="n">
        <f aca="false">Z53+AA52</f>
        <v>-1790524.11370997</v>
      </c>
      <c r="AB53" s="10" t="n">
        <f aca="false">AA53+AB52</f>
        <v>-1858604.50632095</v>
      </c>
      <c r="AC53" s="10" t="n">
        <f aca="false">AB53+AC52</f>
        <v>-1921360.68389634</v>
      </c>
      <c r="AD53" s="10" t="n">
        <f aca="false">AC53+AD52</f>
        <v>-1978691.13002596</v>
      </c>
      <c r="AE53" s="10" t="n">
        <f aca="false">AD53+AE52</f>
        <v>-2030929.33013731</v>
      </c>
      <c r="AF53" s="10" t="n">
        <f aca="false">AE53+AF52</f>
        <v>-2077683.52249571</v>
      </c>
      <c r="AG53" s="10" t="n">
        <f aca="false">AF53+AG52</f>
        <v>-2122657.05318449</v>
      </c>
      <c r="AH53" s="10" t="n">
        <f aca="false">AG53+AH52</f>
        <v>-2165870.4611987</v>
      </c>
      <c r="AI53" s="10" t="n">
        <f aca="false">AH53+AI52</f>
        <v>-2207339.60116549</v>
      </c>
      <c r="AJ53" s="10" t="n">
        <f aca="false">AI53+AJ52</f>
        <v>-2247075.78632504</v>
      </c>
      <c r="AK53" s="10" t="n">
        <f aca="false">AJ53+AK52</f>
        <v>-2285085.91740942</v>
      </c>
      <c r="AL53" s="10" t="n">
        <f aca="false">AK53+AL52</f>
        <v>-2321372.5980445</v>
      </c>
    </row>
    <row r="54" customFormat="false" ht="15" hidden="false" customHeight="false" outlineLevel="0" collapsed="false">
      <c r="A54" s="8" t="s">
        <v>366</v>
      </c>
      <c r="B54" s="1"/>
      <c r="C54" s="35" t="n">
        <f aca="false">-(C50+C51)</f>
        <v>1200</v>
      </c>
      <c r="D54" s="35" t="n">
        <f aca="false">C54-(D50+D51)</f>
        <v>3833.21739130435</v>
      </c>
      <c r="E54" s="35" t="n">
        <f aca="false">D54-(E50+E51)</f>
        <v>8161.60695652174</v>
      </c>
      <c r="F54" s="35" t="n">
        <f aca="false">E54-(F50+F51)</f>
        <v>14480.7913043478</v>
      </c>
      <c r="G54" s="35" t="n">
        <f aca="false">F54-(G50+G51)</f>
        <v>23125.6296125217</v>
      </c>
      <c r="H54" s="35" t="n">
        <f aca="false">G54-(H50+H51)</f>
        <v>34476.5176055374</v>
      </c>
      <c r="I54" s="35" t="n">
        <f aca="false">H54-(I50+I51)</f>
        <v>47766.5239889664</v>
      </c>
      <c r="J54" s="35" t="n">
        <f aca="false">I54-(J50+J51)</f>
        <v>63256.2651381693</v>
      </c>
      <c r="K54" s="35" t="n">
        <f aca="false">J54-(K50+K51)</f>
        <v>81247.5678723012</v>
      </c>
      <c r="L54" s="35" t="n">
        <f aca="false">K54-(L50+L51)</f>
        <v>102088.965536098</v>
      </c>
      <c r="M54" s="35" t="n">
        <f aca="false">L54-(M50+M51)</f>
        <v>126181.972987826</v>
      </c>
      <c r="N54" s="35" t="n">
        <f aca="false">M54-(N50+N51)</f>
        <v>153988.244203634</v>
      </c>
      <c r="O54" s="35" t="n">
        <f aca="false">N54-(O50+O51)</f>
        <v>185442.444408247</v>
      </c>
      <c r="P54" s="35" t="n">
        <f aca="false">O54-(P50+P51)</f>
        <v>220429.784848919</v>
      </c>
      <c r="Q54" s="35" t="n">
        <f aca="false">P54-(Q50+Q51)</f>
        <v>258778.433291479</v>
      </c>
      <c r="R54" s="35" t="n">
        <f aca="false">Q54-(R50+R51)</f>
        <v>300250.665138984</v>
      </c>
      <c r="S54" s="35" t="n">
        <f aca="false">R54-(S50+S51)</f>
        <v>344532.588304719</v>
      </c>
      <c r="T54" s="35" t="n">
        <f aca="false">S54-(T50+T51)</f>
        <v>391222.25156107</v>
      </c>
      <c r="U54" s="35" t="n">
        <f aca="false">T54-(U50+U51)</f>
        <v>440411.20537392</v>
      </c>
      <c r="V54" s="35" t="n">
        <f aca="false">U54-(V50+V51)</f>
        <v>492200.453867707</v>
      </c>
      <c r="W54" s="35" t="n">
        <f aca="false">V54-(W50+W51)</f>
        <v>546700.455580305</v>
      </c>
      <c r="X54" s="35" t="n">
        <f aca="false">W54-(X50+X51)</f>
        <v>604031.160704064</v>
      </c>
      <c r="Y54" s="35" t="n">
        <f aca="false">X54-(Y50+Y51)</f>
        <v>664322.083737119</v>
      </c>
      <c r="Z54" s="35" t="n">
        <f aca="false">Y54-(Z50+Z51)</f>
        <v>727712.410618235</v>
      </c>
      <c r="AA54" s="35" t="n">
        <f aca="false">Z54-(AA50+AA51)</f>
        <v>790238.29491618</v>
      </c>
      <c r="AB54" s="35" t="n">
        <f aca="false">AA54-(AB50+AB51)</f>
        <v>851609.418743976</v>
      </c>
      <c r="AC54" s="35" t="n">
        <f aca="false">AB54-(AC50+AC51)</f>
        <v>911529.523371356</v>
      </c>
      <c r="AD54" s="35" t="n">
        <f aca="false">AC54-(AD50+AD51)</f>
        <v>969694.921345024</v>
      </c>
      <c r="AE54" s="35" t="n">
        <f aca="false">AD54-(AE50+AE51)</f>
        <v>1025793.01909306</v>
      </c>
      <c r="AF54" s="35" t="n">
        <f aca="false">AE54-(AF50+AF51)</f>
        <v>1079500.84414936</v>
      </c>
      <c r="AG54" s="35" t="n">
        <f aca="false">AF54-(AG50+AG51)</f>
        <v>1134596.41595036</v>
      </c>
      <c r="AH54" s="35" t="n">
        <f aca="false">AG54-(AH50+AH51)</f>
        <v>1191180.87834129</v>
      </c>
      <c r="AI54" s="35" t="n">
        <f aca="false">AH54-(AI50+AI51)</f>
        <v>1249356.68288269</v>
      </c>
      <c r="AJ54" s="35" t="n">
        <f aca="false">AI54-(AJ50+AJ51)</f>
        <v>1309227.80544128</v>
      </c>
      <c r="AK54" s="35" t="n">
        <f aca="false">AJ54-(AK50+AK51)</f>
        <v>1370899.96158762</v>
      </c>
      <c r="AL54" s="35" t="n">
        <f aca="false">AK54-(AL50+AL51)</f>
        <v>1434480.82134409</v>
      </c>
    </row>
    <row r="55" customFormat="false" ht="15" hidden="false" customHeight="false" outlineLevel="0" collapsed="false">
      <c r="A55" s="8" t="s">
        <v>367</v>
      </c>
      <c r="B55" s="1"/>
      <c r="C55" s="35" t="n">
        <f aca="false">C11*(1-Assumptions!$B$17)*Assumptions!$B$30/30</f>
        <v>2240</v>
      </c>
      <c r="D55" s="35" t="n">
        <f aca="false">D11*(1-Assumptions!$B$17)*Assumptions!$B$30/30</f>
        <v>4915.33913043478</v>
      </c>
      <c r="E55" s="35" t="n">
        <f aca="false">E11*(1-Assumptions!$B$17)*Assumptions!$B$30/30</f>
        <v>8079.66052173913</v>
      </c>
      <c r="F55" s="35" t="n">
        <f aca="false">F11*(1-Assumptions!$B$17)*Assumptions!$B$30/30</f>
        <v>11795.8107826087</v>
      </c>
      <c r="G55" s="35" t="n">
        <f aca="false">G11*(1-Assumptions!$B$17)*Assumptions!$B$30/30</f>
        <v>16137.0315085913</v>
      </c>
      <c r="H55" s="35" t="n">
        <f aca="false">H11*(1-Assumptions!$B$17)*Assumptions!$B$30/30</f>
        <v>21188.3242536292</v>
      </c>
      <c r="I55" s="35" t="n">
        <f aca="false">I11*(1-Assumptions!$B$17)*Assumptions!$B$30/30</f>
        <v>27048.0119157342</v>
      </c>
      <c r="J55" s="35" t="n">
        <f aca="false">J11*(1-Assumptions!$B$17)*Assumptions!$B$30/30</f>
        <v>33829.5226089468</v>
      </c>
      <c r="K55" s="35" t="n">
        <f aca="false">K11*(1-Assumptions!$B$17)*Assumptions!$B$30/30</f>
        <v>41663.425625452</v>
      </c>
      <c r="L55" s="35" t="n">
        <f aca="false">L11*(1-Assumptions!$B$17)*Assumptions!$B$30/30</f>
        <v>50699.7530883632</v>
      </c>
      <c r="M55" s="35" t="n">
        <f aca="false">M11*(1-Assumptions!$B$17)*Assumptions!$B$30/30</f>
        <v>61110.6454184826</v>
      </c>
      <c r="N55" s="35" t="n">
        <f aca="false">N11*(1-Assumptions!$B$17)*Assumptions!$B$30/30</f>
        <v>73093.3638564714</v>
      </c>
      <c r="O55" s="35" t="n">
        <f aca="false">O11*(1-Assumptions!$B$17)*Assumptions!$B$30/30</f>
        <v>85762.518964345</v>
      </c>
      <c r="P55" s="35" t="n">
        <f aca="false">P11*(1-Assumptions!$B$17)*Assumptions!$B$30/30</f>
        <v>99139.2247648687</v>
      </c>
      <c r="Q55" s="35" t="n">
        <f aca="false">Q11*(1-Assumptions!$B$17)*Assumptions!$B$30/30</f>
        <v>113247.569384897</v>
      </c>
      <c r="R55" s="35" t="n">
        <f aca="false">R11*(1-Assumptions!$B$17)*Assumptions!$B$30/30</f>
        <v>128114.585870373</v>
      </c>
      <c r="S55" s="35" t="n">
        <f aca="false">S11*(1-Assumptions!$B$17)*Assumptions!$B$30/30</f>
        <v>143770.235327854</v>
      </c>
      <c r="T55" s="35" t="n">
        <f aca="false">T11*(1-Assumptions!$B$17)*Assumptions!$B$30/30</f>
        <v>160247.401934994</v>
      </c>
      <c r="U55" s="35" t="n">
        <f aca="false">U11*(1-Assumptions!$B$17)*Assumptions!$B$30/30</f>
        <v>177581.899414998</v>
      </c>
      <c r="V55" s="35" t="n">
        <f aca="false">V11*(1-Assumptions!$B$17)*Assumptions!$B$30/30</f>
        <v>195812.488619938</v>
      </c>
      <c r="W55" s="35" t="n">
        <f aca="false">W11*(1-Assumptions!$B$17)*Assumptions!$B$30/30</f>
        <v>214980.905915079</v>
      </c>
      <c r="X55" s="35" t="n">
        <f aca="false">X11*(1-Assumptions!$B$17)*Assumptions!$B$30/30</f>
        <v>235131.902101391</v>
      </c>
      <c r="Y55" s="35" t="n">
        <f aca="false">Y11*(1-Assumptions!$B$17)*Assumptions!$B$30/30</f>
        <v>256313.291656222</v>
      </c>
      <c r="Z55" s="35" t="n">
        <f aca="false">Z11*(1-Assumptions!$B$17)*Assumptions!$B$30/30</f>
        <v>278576.012113077</v>
      </c>
      <c r="AA55" s="35" t="n">
        <f aca="false">AA11*(1-Assumptions!$B$17)*Assumptions!$B$30/30</f>
        <v>294296.883437829</v>
      </c>
      <c r="AB55" s="35" t="n">
        <f aca="false">AB11*(1-Assumptions!$B$17)*Assumptions!$B$30/30</f>
        <v>310371.919765157</v>
      </c>
      <c r="AC55" s="35" t="n">
        <f aca="false">AC11*(1-Assumptions!$B$17)*Assumptions!$B$30/30</f>
        <v>326831.767886189</v>
      </c>
      <c r="AD55" s="35" t="n">
        <f aca="false">AD11*(1-Assumptions!$B$17)*Assumptions!$B$30/30</f>
        <v>343707.311652237</v>
      </c>
      <c r="AE55" s="35" t="n">
        <f aca="false">AE11*(1-Assumptions!$B$17)*Assumptions!$B$30/30</f>
        <v>361029.740785891</v>
      </c>
      <c r="AF55" s="35" t="n">
        <f aca="false">AF11*(1-Assumptions!$B$17)*Assumptions!$B$30/30</f>
        <v>378830.618884837</v>
      </c>
      <c r="AG55" s="35" t="n">
        <f aca="false">AG11*(1-Assumptions!$B$17)*Assumptions!$B$30/30</f>
        <v>397141.950799691</v>
      </c>
      <c r="AH55" s="35" t="n">
        <f aca="false">AH11*(1-Assumptions!$B$17)*Assumptions!$B$30/30</f>
        <v>415996.249561571</v>
      </c>
      <c r="AI55" s="35" t="n">
        <f aca="false">AI11*(1-Assumptions!$B$17)*Assumptions!$B$30/30</f>
        <v>435426.603030133</v>
      </c>
      <c r="AJ55" s="35" t="n">
        <f aca="false">AJ11*(1-Assumptions!$B$17)*Assumptions!$B$30/30</f>
        <v>455466.740428271</v>
      </c>
      <c r="AK55" s="35" t="n">
        <f aca="false">AK11*(1-Assumptions!$B$17)*Assumptions!$B$30/30</f>
        <v>476151.098925719</v>
      </c>
      <c r="AL55" s="35" t="n">
        <f aca="false">AL11*(1-Assumptions!$B$17)*Assumptions!$B$30/30</f>
        <v>497514.890430245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8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5" t="s">
        <v>368</v>
      </c>
      <c r="B1" s="1"/>
      <c r="C1" s="1"/>
      <c r="D1" s="1"/>
      <c r="E1" s="1"/>
    </row>
    <row r="2" customFormat="false" ht="15" hidden="false" customHeight="false" outlineLevel="0" collapsed="false">
      <c r="A2" s="15" t="s">
        <v>369</v>
      </c>
      <c r="B2" s="1"/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 t="s">
        <v>370</v>
      </c>
      <c r="B4" s="20" t="n">
        <v>0.08</v>
      </c>
      <c r="C4" s="1"/>
      <c r="D4" s="1"/>
      <c r="E4" s="1"/>
    </row>
    <row r="5" customFormat="false" ht="15" hidden="false" customHeight="false" outlineLevel="0" collapsed="false">
      <c r="A5" s="1"/>
      <c r="B5" s="1"/>
      <c r="C5" s="1"/>
      <c r="D5" s="1"/>
      <c r="E5" s="1"/>
    </row>
    <row r="6" customFormat="false" ht="39.55" hidden="false" customHeight="false" outlineLevel="0" collapsed="false">
      <c r="A6" s="7" t="s">
        <v>371</v>
      </c>
      <c r="B6" s="7" t="s">
        <v>372</v>
      </c>
      <c r="C6" s="7" t="s">
        <v>373</v>
      </c>
      <c r="D6" s="7" t="s">
        <v>374</v>
      </c>
      <c r="E6" s="7" t="s">
        <v>375</v>
      </c>
    </row>
    <row r="7" customFormat="false" ht="15" hidden="false" customHeight="false" outlineLevel="0" collapsed="false">
      <c r="A7" s="8" t="s">
        <v>376</v>
      </c>
      <c r="B7" s="24" t="n">
        <v>100</v>
      </c>
      <c r="C7" s="24" t="n">
        <v>100</v>
      </c>
      <c r="D7" s="24" t="n">
        <v>100</v>
      </c>
      <c r="E7" s="1" t="s">
        <v>377</v>
      </c>
    </row>
    <row r="8" customFormat="false" ht="15" hidden="false" customHeight="false" outlineLevel="0" collapsed="false">
      <c r="A8" s="8" t="s">
        <v>334</v>
      </c>
      <c r="B8" s="23" t="n">
        <v>0</v>
      </c>
      <c r="C8" s="23" t="n">
        <f aca="false">B7*$B$4</f>
        <v>8</v>
      </c>
      <c r="D8" s="23" t="n">
        <v>0</v>
      </c>
      <c r="E8" s="1" t="s">
        <v>378</v>
      </c>
    </row>
    <row r="9" customFormat="false" ht="15" hidden="false" customHeight="false" outlineLevel="0" collapsed="false">
      <c r="A9" s="8" t="s">
        <v>379</v>
      </c>
      <c r="B9" s="23" t="n">
        <f aca="false">B7+B8</f>
        <v>100</v>
      </c>
      <c r="C9" s="23" t="n">
        <f aca="false">C7+C8</f>
        <v>108</v>
      </c>
      <c r="D9" s="23" t="n">
        <f aca="false">D7+D8</f>
        <v>100</v>
      </c>
      <c r="E9" s="1"/>
    </row>
    <row r="10" customFormat="false" ht="15" hidden="false" customHeight="false" outlineLevel="0" collapsed="false">
      <c r="A10" s="8" t="s">
        <v>340</v>
      </c>
      <c r="B10" s="23" t="n">
        <f aca="false">-B9*Assumptions!$B$19</f>
        <v>-12</v>
      </c>
      <c r="C10" s="23" t="n">
        <f aca="false">-C9*Assumptions!$B$19</f>
        <v>-12.96</v>
      </c>
      <c r="D10" s="23" t="n">
        <f aca="false">-D9*Assumptions!$B$19</f>
        <v>-12</v>
      </c>
      <c r="E10" s="1" t="s">
        <v>380</v>
      </c>
    </row>
    <row r="11" customFormat="false" ht="15" hidden="false" customHeight="false" outlineLevel="0" collapsed="false">
      <c r="A11" s="8" t="s">
        <v>381</v>
      </c>
      <c r="B11" s="23" t="n">
        <f aca="false">-B7*(1-Assumptions!$B$17)</f>
        <v>-80</v>
      </c>
      <c r="C11" s="23" t="n">
        <f aca="false">-C7*(1-Assumptions!$B$17)</f>
        <v>-80</v>
      </c>
      <c r="D11" s="23" t="n">
        <f aca="false">-(D9+D10)*(1-Assumptions!$B$17)</f>
        <v>-70.4</v>
      </c>
      <c r="E11" s="1" t="s">
        <v>382</v>
      </c>
    </row>
    <row r="12" customFormat="false" ht="15" hidden="false" customHeight="false" outlineLevel="0" collapsed="false">
      <c r="A12" s="8" t="s">
        <v>383</v>
      </c>
      <c r="B12" s="23" t="n">
        <f aca="false">-B7*Assumptions!$B$17*Assumptions!$B$26*Assumptions!$B$27</f>
        <v>-0.3</v>
      </c>
      <c r="C12" s="23" t="n">
        <f aca="false">-C7*Assumptions!$B$17*Assumptions!$B$26*Assumptions!$B$27</f>
        <v>-0.3</v>
      </c>
      <c r="D12" s="23" t="n">
        <f aca="false">-(D9+D10)*Assumptions!$B$17*Assumptions!$B$26*Assumptions!$B$27</f>
        <v>-0.264</v>
      </c>
      <c r="E12" s="1" t="s">
        <v>384</v>
      </c>
    </row>
    <row r="13" customFormat="false" ht="15" hidden="false" customHeight="false" outlineLevel="0" collapsed="false">
      <c r="A13" s="8" t="s">
        <v>341</v>
      </c>
      <c r="B13" s="23" t="n">
        <f aca="false">-B9/Assumptions!$B$21*Assumptions!$B$22*Assumptions!$B$23</f>
        <v>-0.833333333333333</v>
      </c>
      <c r="C13" s="23" t="n">
        <f aca="false">-C9/Assumptions!$B$21*Assumptions!$B$22*Assumptions!$B$23</f>
        <v>-0.9</v>
      </c>
      <c r="D13" s="23" t="n">
        <f aca="false">-D9/Assumptions!$B$21*Assumptions!$B$22*Assumptions!$B$23</f>
        <v>-0.833333333333333</v>
      </c>
      <c r="E13" s="1"/>
    </row>
    <row r="14" customFormat="false" ht="15" hidden="false" customHeight="false" outlineLevel="0" collapsed="false">
      <c r="A14" s="8" t="s">
        <v>342</v>
      </c>
      <c r="B14" s="23" t="n">
        <f aca="false">-B7*Assumptions!$B$24*Assumptions!$B$25</f>
        <v>-0.25</v>
      </c>
      <c r="C14" s="23" t="n">
        <f aca="false">-C7*Assumptions!$B$24*Assumptions!$B$25</f>
        <v>-0.25</v>
      </c>
      <c r="D14" s="23" t="n">
        <f aca="false">-D7*Assumptions!$B$24*Assumptions!$B$25</f>
        <v>-0.25</v>
      </c>
      <c r="E14" s="1"/>
    </row>
    <row r="15" customFormat="false" ht="15" hidden="false" customHeight="false" outlineLevel="0" collapsed="false">
      <c r="A15" s="6" t="s">
        <v>385</v>
      </c>
      <c r="B15" s="23" t="n">
        <f aca="false">SUM(B9:B14)</f>
        <v>6.61666666666667</v>
      </c>
      <c r="C15" s="23" t="n">
        <f aca="false">SUM(C9:C14)</f>
        <v>13.59</v>
      </c>
      <c r="D15" s="23" t="n">
        <f aca="false">SUM(D9:D14)</f>
        <v>16.2526666666667</v>
      </c>
      <c r="E15" s="1" t="s">
        <v>386</v>
      </c>
    </row>
    <row r="16" customFormat="false" ht="15" hidden="false" customHeight="false" outlineLevel="0" collapsed="false">
      <c r="A16" s="6" t="s">
        <v>387</v>
      </c>
      <c r="B16" s="19" t="n">
        <f aca="false">B15/B9</f>
        <v>0.0661666666666667</v>
      </c>
      <c r="C16" s="19" t="n">
        <f aca="false">C15/C9</f>
        <v>0.125833333333333</v>
      </c>
      <c r="D16" s="19" t="n">
        <f aca="false">D15/D9</f>
        <v>0.162526666666667</v>
      </c>
      <c r="E16" s="1"/>
    </row>
    <row r="17" customFormat="false" ht="15" hidden="false" customHeight="false" outlineLevel="0" collapsed="false">
      <c r="A17" s="8" t="s">
        <v>388</v>
      </c>
      <c r="B17" s="19" t="n">
        <f aca="false">-B11/B7</f>
        <v>0.8</v>
      </c>
      <c r="C17" s="19" t="n">
        <f aca="false">-C11/C7</f>
        <v>0.8</v>
      </c>
      <c r="D17" s="19" t="n">
        <f aca="false">-D11/D7</f>
        <v>0.704</v>
      </c>
      <c r="E17" s="1" t="s">
        <v>389</v>
      </c>
    </row>
    <row r="18" customFormat="false" ht="15" hidden="false" customHeight="false" outlineLevel="0" collapsed="false">
      <c r="A18" s="1"/>
      <c r="B18" s="1"/>
      <c r="C18" s="1"/>
      <c r="D18" s="1"/>
      <c r="E18" s="1"/>
    </row>
    <row r="19" customFormat="false" ht="15" hidden="false" customHeight="false" outlineLevel="0" collapsed="false">
      <c r="A19" s="6" t="s">
        <v>390</v>
      </c>
      <c r="B19" s="1"/>
      <c r="C19" s="1"/>
      <c r="D19" s="1"/>
      <c r="E19" s="1"/>
    </row>
    <row r="20" customFormat="false" ht="15" hidden="false" customHeight="false" outlineLevel="0" collapsed="false">
      <c r="A20" s="7" t="s">
        <v>391</v>
      </c>
      <c r="B20" s="7" t="s">
        <v>53</v>
      </c>
      <c r="C20" s="7"/>
      <c r="D20" s="7"/>
      <c r="E20" s="7" t="s">
        <v>392</v>
      </c>
    </row>
    <row r="21" customFormat="false" ht="15" hidden="false" customHeight="false" outlineLevel="0" collapsed="false">
      <c r="A21" s="1" t="s">
        <v>393</v>
      </c>
      <c r="B21" s="25" t="n">
        <f aca="false">Assumptions!$B$12*Assumptions!$B$13</f>
        <v>750</v>
      </c>
      <c r="C21" s="1"/>
      <c r="D21" s="1"/>
      <c r="E21" s="1" t="s">
        <v>394</v>
      </c>
    </row>
    <row r="22" customFormat="false" ht="15" hidden="false" customHeight="false" outlineLevel="0" collapsed="false">
      <c r="A22" s="1" t="s">
        <v>395</v>
      </c>
      <c r="B22" s="25" t="n">
        <f aca="false">B21*INDEX(Projection!$C$36:$AL$36,1,36)</f>
        <v>45.1940886282977</v>
      </c>
      <c r="C22" s="1"/>
      <c r="D22" s="1"/>
      <c r="E22" s="1" t="s">
        <v>396</v>
      </c>
    </row>
    <row r="23" customFormat="false" ht="15" hidden="false" customHeight="false" outlineLevel="0" collapsed="false">
      <c r="A23" s="1" t="s">
        <v>397</v>
      </c>
      <c r="B23" s="21" t="n">
        <f aca="false">1/Assumptions!$B$10</f>
        <v>16.6666666666667</v>
      </c>
      <c r="C23" s="1"/>
      <c r="D23" s="1"/>
      <c r="E23" s="1" t="s">
        <v>398</v>
      </c>
    </row>
    <row r="24" customFormat="false" ht="15" hidden="false" customHeight="false" outlineLevel="0" collapsed="false">
      <c r="A24" s="1" t="s">
        <v>399</v>
      </c>
      <c r="B24" s="25" t="n">
        <f aca="false">B22*B23</f>
        <v>753.234810471628</v>
      </c>
      <c r="C24" s="1"/>
      <c r="D24" s="1"/>
      <c r="E24" s="1"/>
    </row>
    <row r="25" customFormat="false" ht="15" hidden="false" customHeight="false" outlineLevel="0" collapsed="false">
      <c r="A25" s="1" t="s">
        <v>400</v>
      </c>
      <c r="B25" s="25" t="n">
        <f aca="false">Assumptions!$B$14</f>
        <v>150</v>
      </c>
      <c r="C25" s="1"/>
      <c r="D25" s="1"/>
      <c r="E25" s="1"/>
    </row>
    <row r="26" customFormat="false" ht="15" hidden="false" customHeight="false" outlineLevel="0" collapsed="false">
      <c r="A26" s="1" t="s">
        <v>401</v>
      </c>
      <c r="B26" s="37" t="n">
        <f aca="false">IF(B25=0,0,B24/B25)</f>
        <v>5.02156540314419</v>
      </c>
      <c r="C26" s="1"/>
      <c r="D26" s="1"/>
      <c r="E26" s="1" t="s">
        <v>402</v>
      </c>
    </row>
    <row r="27" customFormat="false" ht="15" hidden="false" customHeight="false" outlineLevel="0" collapsed="false">
      <c r="A27" s="1" t="s">
        <v>403</v>
      </c>
      <c r="B27" s="21" t="n">
        <f aca="false">IF(B22&lt;=0,0,B25/B22)</f>
        <v>3.31901814048485</v>
      </c>
      <c r="C27" s="1"/>
      <c r="D27" s="1"/>
      <c r="E27" s="1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2026-10-04T12:16:15Z</dcterms:created>
  <dc:creator>openpyxl</dc:creator>
  <dc:description/>
  <dc:language>en-US</dc:language>
  <cp:lastModifiedBy/>
  <dcterms:modified xsi:type="dcterms:W3CDTF">2026-10-04T05:16:17Z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